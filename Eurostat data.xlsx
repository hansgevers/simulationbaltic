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sg\Downloads\simulating Estonia's disability benefits\"/>
    </mc:Choice>
  </mc:AlternateContent>
  <xr:revisionPtr revIDLastSave="0" documentId="8_{870B73C2-D215-4B59-BC1F-C24D76600FDC}" xr6:coauthVersionLast="47" xr6:coauthVersionMax="47" xr10:uidLastSave="{00000000-0000-0000-0000-000000000000}"/>
  <bookViews>
    <workbookView xWindow="-120" yWindow="-120" windowWidth="29040" windowHeight="15720" tabRatio="783" xr2:uid="{3BA42F21-4CE8-40DB-9B7A-453A8A59B559}"/>
  </bookViews>
  <sheets>
    <sheet name="Cover" sheetId="3" r:id="rId1"/>
    <sheet name="Content" sheetId="4" r:id="rId2"/>
    <sheet name="Error checking" sheetId="5" r:id="rId3"/>
    <sheet name="FORECASTS &gt;&gt;&gt;" sheetId="8" r:id="rId4"/>
    <sheet name="Population" sheetId="11" r:id="rId5"/>
    <sheet name="Disability" sheetId="6" r:id="rId6"/>
    <sheet name="Income" sheetId="14" r:id="rId7"/>
    <sheet name="CALCULATIONS&gt;&gt;&gt; " sheetId="9" r:id="rId8"/>
    <sheet name="Input data" sheetId="20" r:id="rId9"/>
    <sheet name="Eurostat data forecast" sheetId="18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8" l="1"/>
  <c r="G3" i="18"/>
  <c r="H3" i="18"/>
  <c r="I3" i="18"/>
  <c r="J3" i="18"/>
  <c r="K3" i="18"/>
  <c r="L3" i="18"/>
  <c r="M3" i="18"/>
  <c r="N3" i="18"/>
  <c r="O3" i="18"/>
  <c r="F4" i="18"/>
  <c r="G4" i="18"/>
  <c r="H4" i="18"/>
  <c r="I4" i="18"/>
  <c r="J4" i="18"/>
  <c r="K4" i="18"/>
  <c r="L4" i="18"/>
  <c r="M4" i="18"/>
  <c r="N4" i="18"/>
  <c r="O4" i="18"/>
  <c r="F5" i="18"/>
  <c r="G5" i="18"/>
  <c r="H5" i="18"/>
  <c r="I5" i="18"/>
  <c r="J5" i="18"/>
  <c r="K5" i="18"/>
  <c r="L5" i="18"/>
  <c r="M5" i="18"/>
  <c r="N5" i="18"/>
  <c r="O5" i="18"/>
  <c r="F6" i="18"/>
  <c r="G6" i="18"/>
  <c r="H6" i="18"/>
  <c r="I6" i="18"/>
  <c r="J6" i="18"/>
  <c r="K6" i="18"/>
  <c r="L6" i="18"/>
  <c r="M6" i="18"/>
  <c r="N6" i="18"/>
  <c r="O6" i="18"/>
  <c r="F7" i="18"/>
  <c r="G7" i="18"/>
  <c r="H7" i="18"/>
  <c r="I7" i="18"/>
  <c r="J7" i="18"/>
  <c r="K7" i="18"/>
  <c r="L7" i="18"/>
  <c r="M7" i="18"/>
  <c r="N7" i="18"/>
  <c r="O7" i="18"/>
  <c r="F8" i="18"/>
  <c r="G8" i="18"/>
  <c r="H8" i="18"/>
  <c r="I8" i="18"/>
  <c r="J8" i="18"/>
  <c r="K8" i="18"/>
  <c r="L8" i="18"/>
  <c r="M8" i="18"/>
  <c r="N8" i="18"/>
  <c r="O8" i="18"/>
  <c r="F9" i="18"/>
  <c r="G9" i="18"/>
  <c r="H9" i="18"/>
  <c r="I9" i="18"/>
  <c r="J9" i="18"/>
  <c r="K9" i="18"/>
  <c r="L9" i="18"/>
  <c r="M9" i="18"/>
  <c r="N9" i="18"/>
  <c r="O9" i="18"/>
  <c r="F10" i="18"/>
  <c r="G10" i="18"/>
  <c r="H10" i="18"/>
  <c r="I10" i="18"/>
  <c r="J10" i="18"/>
  <c r="K10" i="18"/>
  <c r="L10" i="18"/>
  <c r="M10" i="18"/>
  <c r="N10" i="18"/>
  <c r="O10" i="18"/>
  <c r="F11" i="18"/>
  <c r="G11" i="18"/>
  <c r="H11" i="18"/>
  <c r="I11" i="18"/>
  <c r="J11" i="18"/>
  <c r="K11" i="18"/>
  <c r="L11" i="18"/>
  <c r="M11" i="18"/>
  <c r="N11" i="18"/>
  <c r="O11" i="18"/>
  <c r="F12" i="18"/>
  <c r="G12" i="18"/>
  <c r="H12" i="18"/>
  <c r="I12" i="18"/>
  <c r="J12" i="18"/>
  <c r="K12" i="18"/>
  <c r="L12" i="18"/>
  <c r="M12" i="18"/>
  <c r="N12" i="18"/>
  <c r="O12" i="18"/>
  <c r="F13" i="18"/>
  <c r="G13" i="18"/>
  <c r="H13" i="18"/>
  <c r="I13" i="18"/>
  <c r="J13" i="18"/>
  <c r="K13" i="18"/>
  <c r="L13" i="18"/>
  <c r="M13" i="18"/>
  <c r="N13" i="18"/>
  <c r="O13" i="18"/>
  <c r="F14" i="18"/>
  <c r="G14" i="18"/>
  <c r="H14" i="18"/>
  <c r="I14" i="18"/>
  <c r="J14" i="18"/>
  <c r="K14" i="18"/>
  <c r="L14" i="18"/>
  <c r="M14" i="18"/>
  <c r="N14" i="18"/>
  <c r="O14" i="18"/>
  <c r="F15" i="18"/>
  <c r="G15" i="18"/>
  <c r="H15" i="18"/>
  <c r="I15" i="18"/>
  <c r="J15" i="18"/>
  <c r="K15" i="18"/>
  <c r="L15" i="18"/>
  <c r="M15" i="18"/>
  <c r="N15" i="18"/>
  <c r="O15" i="18"/>
  <c r="F16" i="18"/>
  <c r="G16" i="18"/>
  <c r="H16" i="18"/>
  <c r="I16" i="18"/>
  <c r="J16" i="18"/>
  <c r="K16" i="18"/>
  <c r="L16" i="18"/>
  <c r="M16" i="18"/>
  <c r="N16" i="18"/>
  <c r="O16" i="18"/>
  <c r="F17" i="18"/>
  <c r="G17" i="18"/>
  <c r="H17" i="18"/>
  <c r="I17" i="18"/>
  <c r="J17" i="18"/>
  <c r="K17" i="18"/>
  <c r="L17" i="18"/>
  <c r="M17" i="18"/>
  <c r="N17" i="18"/>
  <c r="O17" i="18"/>
  <c r="F18" i="18"/>
  <c r="G18" i="18"/>
  <c r="H18" i="18"/>
  <c r="I18" i="18"/>
  <c r="J18" i="18"/>
  <c r="K18" i="18"/>
  <c r="L18" i="18"/>
  <c r="M18" i="18"/>
  <c r="N18" i="18"/>
  <c r="O18" i="18"/>
  <c r="F19" i="18"/>
  <c r="G19" i="18"/>
  <c r="H19" i="18"/>
  <c r="I19" i="18"/>
  <c r="J19" i="18"/>
  <c r="K19" i="18"/>
  <c r="L19" i="18"/>
  <c r="M19" i="18"/>
  <c r="N19" i="18"/>
  <c r="O19" i="18"/>
  <c r="F20" i="18"/>
  <c r="G20" i="18"/>
  <c r="H20" i="18"/>
  <c r="I20" i="18"/>
  <c r="J20" i="18"/>
  <c r="K20" i="18"/>
  <c r="L20" i="18"/>
  <c r="M20" i="18"/>
  <c r="N20" i="18"/>
  <c r="O20" i="18"/>
  <c r="F21" i="18"/>
  <c r="G21" i="18"/>
  <c r="H21" i="18"/>
  <c r="I21" i="18"/>
  <c r="J21" i="18"/>
  <c r="K21" i="18"/>
  <c r="L21" i="18"/>
  <c r="M21" i="18"/>
  <c r="N21" i="18"/>
  <c r="O21" i="18"/>
  <c r="F22" i="18"/>
  <c r="G22" i="18"/>
  <c r="H22" i="18"/>
  <c r="I22" i="18"/>
  <c r="J22" i="18"/>
  <c r="K22" i="18"/>
  <c r="L22" i="18"/>
  <c r="M22" i="18"/>
  <c r="N22" i="18"/>
  <c r="O22" i="18"/>
  <c r="F23" i="18"/>
  <c r="G23" i="18"/>
  <c r="H23" i="18"/>
  <c r="I23" i="18"/>
  <c r="J23" i="18"/>
  <c r="K23" i="18"/>
  <c r="L23" i="18"/>
  <c r="M23" i="18"/>
  <c r="N23" i="18"/>
  <c r="O23" i="18"/>
  <c r="F24" i="18"/>
  <c r="G24" i="18"/>
  <c r="H24" i="18"/>
  <c r="I24" i="18"/>
  <c r="J24" i="18"/>
  <c r="K24" i="18"/>
  <c r="L24" i="18"/>
  <c r="M24" i="18"/>
  <c r="N24" i="18"/>
  <c r="O24" i="18"/>
  <c r="F25" i="18"/>
  <c r="G25" i="18"/>
  <c r="H25" i="18"/>
  <c r="I25" i="18"/>
  <c r="J25" i="18"/>
  <c r="K25" i="18"/>
  <c r="L25" i="18"/>
  <c r="M25" i="18"/>
  <c r="N25" i="18"/>
  <c r="O25" i="18"/>
  <c r="F26" i="18"/>
  <c r="G26" i="18"/>
  <c r="H26" i="18"/>
  <c r="I26" i="18"/>
  <c r="J26" i="18"/>
  <c r="K26" i="18"/>
  <c r="L26" i="18"/>
  <c r="M26" i="18"/>
  <c r="N26" i="18"/>
  <c r="O26" i="18"/>
  <c r="F27" i="18"/>
  <c r="G27" i="18"/>
  <c r="H27" i="18"/>
  <c r="I27" i="18"/>
  <c r="J27" i="18"/>
  <c r="K27" i="18"/>
  <c r="L27" i="18"/>
  <c r="M27" i="18"/>
  <c r="N27" i="18"/>
  <c r="O27" i="18"/>
  <c r="F28" i="18"/>
  <c r="G28" i="18"/>
  <c r="H28" i="18"/>
  <c r="I28" i="18"/>
  <c r="J28" i="18"/>
  <c r="K28" i="18"/>
  <c r="L28" i="18"/>
  <c r="M28" i="18"/>
  <c r="N28" i="18"/>
  <c r="O28" i="18"/>
  <c r="F29" i="18"/>
  <c r="G29" i="18"/>
  <c r="H29" i="18"/>
  <c r="I29" i="18"/>
  <c r="J29" i="18"/>
  <c r="K29" i="18"/>
  <c r="L29" i="18"/>
  <c r="M29" i="18"/>
  <c r="N29" i="18"/>
  <c r="O29" i="18"/>
  <c r="F30" i="18"/>
  <c r="G30" i="18"/>
  <c r="H30" i="18"/>
  <c r="I30" i="18"/>
  <c r="J30" i="18"/>
  <c r="K30" i="18"/>
  <c r="L30" i="18"/>
  <c r="M30" i="18"/>
  <c r="N30" i="18"/>
  <c r="O30" i="18"/>
  <c r="F31" i="18"/>
  <c r="G31" i="18"/>
  <c r="H31" i="18"/>
  <c r="I31" i="18"/>
  <c r="J31" i="18"/>
  <c r="K31" i="18"/>
  <c r="L31" i="18"/>
  <c r="M31" i="18"/>
  <c r="N31" i="18"/>
  <c r="O31" i="18"/>
  <c r="F32" i="18"/>
  <c r="G32" i="18"/>
  <c r="H32" i="18"/>
  <c r="I32" i="18"/>
  <c r="J32" i="18"/>
  <c r="K32" i="18"/>
  <c r="L32" i="18"/>
  <c r="M32" i="18"/>
  <c r="N32" i="18"/>
  <c r="O32" i="18"/>
  <c r="E32" i="18"/>
  <c r="E31" i="18"/>
  <c r="E30" i="18"/>
  <c r="E29" i="18"/>
  <c r="E28" i="18"/>
  <c r="E27" i="18"/>
  <c r="E26" i="18"/>
  <c r="E25" i="18"/>
  <c r="E24" i="18"/>
  <c r="E23" i="18"/>
  <c r="E22" i="18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7" i="18"/>
  <c r="E6" i="18"/>
  <c r="E5" i="18"/>
  <c r="E4" i="18"/>
  <c r="E3" i="18"/>
  <c r="F65" i="6"/>
  <c r="G65" i="6"/>
  <c r="H65" i="6"/>
  <c r="I65" i="6"/>
  <c r="J65" i="6"/>
  <c r="K65" i="6"/>
  <c r="L65" i="6"/>
  <c r="M65" i="6"/>
  <c r="N65" i="6"/>
  <c r="O65" i="6"/>
  <c r="P65" i="6"/>
  <c r="Q65" i="6"/>
  <c r="R65" i="6"/>
  <c r="S65" i="6"/>
  <c r="T65" i="6"/>
  <c r="U65" i="6"/>
  <c r="V65" i="6"/>
  <c r="F66" i="6"/>
  <c r="G66" i="6"/>
  <c r="H66" i="6"/>
  <c r="I66" i="6"/>
  <c r="J66" i="6"/>
  <c r="K66" i="6"/>
  <c r="L66" i="6"/>
  <c r="M66" i="6"/>
  <c r="N66" i="6"/>
  <c r="O66" i="6"/>
  <c r="P66" i="6"/>
  <c r="Q66" i="6"/>
  <c r="R66" i="6"/>
  <c r="S66" i="6"/>
  <c r="T66" i="6"/>
  <c r="U66" i="6"/>
  <c r="V66" i="6"/>
  <c r="F67" i="6"/>
  <c r="G67" i="6"/>
  <c r="H67" i="6"/>
  <c r="I67" i="6"/>
  <c r="J67" i="6"/>
  <c r="K67" i="6"/>
  <c r="L67" i="6"/>
  <c r="M67" i="6"/>
  <c r="N67" i="6"/>
  <c r="O67" i="6"/>
  <c r="P67" i="6"/>
  <c r="Q67" i="6"/>
  <c r="R67" i="6"/>
  <c r="S67" i="6"/>
  <c r="T67" i="6"/>
  <c r="U67" i="6"/>
  <c r="V67" i="6"/>
  <c r="F68" i="6"/>
  <c r="G68" i="6"/>
  <c r="H68" i="6"/>
  <c r="I68" i="6"/>
  <c r="J68" i="6"/>
  <c r="K68" i="6"/>
  <c r="L68" i="6"/>
  <c r="M68" i="6"/>
  <c r="N68" i="6"/>
  <c r="O68" i="6"/>
  <c r="P68" i="6"/>
  <c r="Q68" i="6"/>
  <c r="R68" i="6"/>
  <c r="S68" i="6"/>
  <c r="T68" i="6"/>
  <c r="U68" i="6"/>
  <c r="V68" i="6"/>
  <c r="F69" i="6"/>
  <c r="G69" i="6"/>
  <c r="H69" i="6"/>
  <c r="I69" i="6"/>
  <c r="J69" i="6"/>
  <c r="K69" i="6"/>
  <c r="L69" i="6"/>
  <c r="M69" i="6"/>
  <c r="N69" i="6"/>
  <c r="O69" i="6"/>
  <c r="P69" i="6"/>
  <c r="Q69" i="6"/>
  <c r="R69" i="6"/>
  <c r="S69" i="6"/>
  <c r="T69" i="6"/>
  <c r="U69" i="6"/>
  <c r="V69" i="6"/>
  <c r="F70" i="6"/>
  <c r="G70" i="6"/>
  <c r="H70" i="6"/>
  <c r="I70" i="6"/>
  <c r="J70" i="6"/>
  <c r="K70" i="6"/>
  <c r="L70" i="6"/>
  <c r="M70" i="6"/>
  <c r="N70" i="6"/>
  <c r="O70" i="6"/>
  <c r="P70" i="6"/>
  <c r="Q70" i="6"/>
  <c r="R70" i="6"/>
  <c r="S70" i="6"/>
  <c r="T70" i="6"/>
  <c r="U70" i="6"/>
  <c r="V70" i="6"/>
  <c r="F71" i="6"/>
  <c r="G71" i="6"/>
  <c r="H71" i="6"/>
  <c r="I71" i="6"/>
  <c r="J71" i="6"/>
  <c r="K71" i="6"/>
  <c r="L71" i="6"/>
  <c r="M71" i="6"/>
  <c r="N71" i="6"/>
  <c r="O71" i="6"/>
  <c r="P71" i="6"/>
  <c r="Q71" i="6"/>
  <c r="R71" i="6"/>
  <c r="S71" i="6"/>
  <c r="T71" i="6"/>
  <c r="U71" i="6"/>
  <c r="V71" i="6"/>
  <c r="F72" i="6"/>
  <c r="G72" i="6"/>
  <c r="H72" i="6"/>
  <c r="I72" i="6"/>
  <c r="J72" i="6"/>
  <c r="K72" i="6"/>
  <c r="L72" i="6"/>
  <c r="M72" i="6"/>
  <c r="N72" i="6"/>
  <c r="O72" i="6"/>
  <c r="P72" i="6"/>
  <c r="Q72" i="6"/>
  <c r="R72" i="6"/>
  <c r="S72" i="6"/>
  <c r="T72" i="6"/>
  <c r="U72" i="6"/>
  <c r="V72" i="6"/>
  <c r="F73" i="6"/>
  <c r="G73" i="6"/>
  <c r="H73" i="6"/>
  <c r="I73" i="6"/>
  <c r="J73" i="6"/>
  <c r="K73" i="6"/>
  <c r="L73" i="6"/>
  <c r="M73" i="6"/>
  <c r="N73" i="6"/>
  <c r="O73" i="6"/>
  <c r="P73" i="6"/>
  <c r="Q73" i="6"/>
  <c r="R73" i="6"/>
  <c r="S73" i="6"/>
  <c r="T73" i="6"/>
  <c r="U73" i="6"/>
  <c r="V73" i="6"/>
  <c r="F74" i="6"/>
  <c r="G74" i="6"/>
  <c r="H74" i="6"/>
  <c r="I74" i="6"/>
  <c r="J74" i="6"/>
  <c r="K74" i="6"/>
  <c r="L74" i="6"/>
  <c r="M74" i="6"/>
  <c r="N74" i="6"/>
  <c r="O74" i="6"/>
  <c r="P74" i="6"/>
  <c r="Q74" i="6"/>
  <c r="R74" i="6"/>
  <c r="S74" i="6"/>
  <c r="T74" i="6"/>
  <c r="U74" i="6"/>
  <c r="V74" i="6"/>
  <c r="F75" i="6"/>
  <c r="G75" i="6"/>
  <c r="H75" i="6"/>
  <c r="I75" i="6"/>
  <c r="J75" i="6"/>
  <c r="K75" i="6"/>
  <c r="L75" i="6"/>
  <c r="M75" i="6"/>
  <c r="N75" i="6"/>
  <c r="O75" i="6"/>
  <c r="P75" i="6"/>
  <c r="Q75" i="6"/>
  <c r="R75" i="6"/>
  <c r="S75" i="6"/>
  <c r="T75" i="6"/>
  <c r="U75" i="6"/>
  <c r="V75" i="6"/>
  <c r="F76" i="6"/>
  <c r="G76" i="6"/>
  <c r="H76" i="6"/>
  <c r="I76" i="6"/>
  <c r="J76" i="6"/>
  <c r="K76" i="6"/>
  <c r="L76" i="6"/>
  <c r="M76" i="6"/>
  <c r="N76" i="6"/>
  <c r="O76" i="6"/>
  <c r="P76" i="6"/>
  <c r="Q76" i="6"/>
  <c r="R76" i="6"/>
  <c r="S76" i="6"/>
  <c r="T76" i="6"/>
  <c r="U76" i="6"/>
  <c r="V76" i="6"/>
  <c r="F77" i="6"/>
  <c r="G77" i="6"/>
  <c r="H77" i="6"/>
  <c r="I77" i="6"/>
  <c r="J77" i="6"/>
  <c r="K77" i="6"/>
  <c r="L77" i="6"/>
  <c r="M77" i="6"/>
  <c r="N77" i="6"/>
  <c r="O77" i="6"/>
  <c r="P77" i="6"/>
  <c r="Q77" i="6"/>
  <c r="R77" i="6"/>
  <c r="S77" i="6"/>
  <c r="T77" i="6"/>
  <c r="U77" i="6"/>
  <c r="V77" i="6"/>
  <c r="F78" i="6"/>
  <c r="G78" i="6"/>
  <c r="H78" i="6"/>
  <c r="I78" i="6"/>
  <c r="J78" i="6"/>
  <c r="K78" i="6"/>
  <c r="L78" i="6"/>
  <c r="M78" i="6"/>
  <c r="N78" i="6"/>
  <c r="O78" i="6"/>
  <c r="P78" i="6"/>
  <c r="Q78" i="6"/>
  <c r="R78" i="6"/>
  <c r="S78" i="6"/>
  <c r="T78" i="6"/>
  <c r="U78" i="6"/>
  <c r="V78" i="6"/>
  <c r="F79" i="6"/>
  <c r="G79" i="6"/>
  <c r="H79" i="6"/>
  <c r="I79" i="6"/>
  <c r="J79" i="6"/>
  <c r="K79" i="6"/>
  <c r="L79" i="6"/>
  <c r="M79" i="6"/>
  <c r="N79" i="6"/>
  <c r="O79" i="6"/>
  <c r="P79" i="6"/>
  <c r="Q79" i="6"/>
  <c r="R79" i="6"/>
  <c r="S79" i="6"/>
  <c r="T79" i="6"/>
  <c r="U79" i="6"/>
  <c r="V79" i="6"/>
  <c r="F80" i="6"/>
  <c r="G80" i="6"/>
  <c r="H80" i="6"/>
  <c r="I80" i="6"/>
  <c r="J80" i="6"/>
  <c r="K80" i="6"/>
  <c r="L80" i="6"/>
  <c r="M80" i="6"/>
  <c r="N80" i="6"/>
  <c r="O80" i="6"/>
  <c r="P80" i="6"/>
  <c r="Q80" i="6"/>
  <c r="R80" i="6"/>
  <c r="S80" i="6"/>
  <c r="T80" i="6"/>
  <c r="U80" i="6"/>
  <c r="V80" i="6"/>
  <c r="F81" i="6"/>
  <c r="G81" i="6"/>
  <c r="H81" i="6"/>
  <c r="I81" i="6"/>
  <c r="J81" i="6"/>
  <c r="K81" i="6"/>
  <c r="L81" i="6"/>
  <c r="M81" i="6"/>
  <c r="N81" i="6"/>
  <c r="O81" i="6"/>
  <c r="P81" i="6"/>
  <c r="Q81" i="6"/>
  <c r="R81" i="6"/>
  <c r="S81" i="6"/>
  <c r="T81" i="6"/>
  <c r="U81" i="6"/>
  <c r="V81" i="6"/>
  <c r="F82" i="6"/>
  <c r="G82" i="6"/>
  <c r="H82" i="6"/>
  <c r="I82" i="6"/>
  <c r="J82" i="6"/>
  <c r="K82" i="6"/>
  <c r="L82" i="6"/>
  <c r="M82" i="6"/>
  <c r="N82" i="6"/>
  <c r="O82" i="6"/>
  <c r="P82" i="6"/>
  <c r="Q82" i="6"/>
  <c r="R82" i="6"/>
  <c r="S82" i="6"/>
  <c r="T82" i="6"/>
  <c r="U82" i="6"/>
  <c r="V82" i="6"/>
  <c r="F83" i="6"/>
  <c r="G83" i="6"/>
  <c r="H83" i="6"/>
  <c r="I83" i="6"/>
  <c r="J83" i="6"/>
  <c r="K83" i="6"/>
  <c r="L83" i="6"/>
  <c r="M83" i="6"/>
  <c r="N83" i="6"/>
  <c r="O83" i="6"/>
  <c r="P83" i="6"/>
  <c r="Q83" i="6"/>
  <c r="R83" i="6"/>
  <c r="S83" i="6"/>
  <c r="T83" i="6"/>
  <c r="U83" i="6"/>
  <c r="V83" i="6"/>
  <c r="F84" i="6"/>
  <c r="G84" i="6"/>
  <c r="H84" i="6"/>
  <c r="I84" i="6"/>
  <c r="J84" i="6"/>
  <c r="K84" i="6"/>
  <c r="L84" i="6"/>
  <c r="M84" i="6"/>
  <c r="N84" i="6"/>
  <c r="O84" i="6"/>
  <c r="P84" i="6"/>
  <c r="Q84" i="6"/>
  <c r="R84" i="6"/>
  <c r="S84" i="6"/>
  <c r="T84" i="6"/>
  <c r="U84" i="6"/>
  <c r="V84" i="6"/>
  <c r="F85" i="6"/>
  <c r="G85" i="6"/>
  <c r="H85" i="6"/>
  <c r="I85" i="6"/>
  <c r="J85" i="6"/>
  <c r="K85" i="6"/>
  <c r="L85" i="6"/>
  <c r="M85" i="6"/>
  <c r="N85" i="6"/>
  <c r="O85" i="6"/>
  <c r="P85" i="6"/>
  <c r="Q85" i="6"/>
  <c r="R85" i="6"/>
  <c r="S85" i="6"/>
  <c r="T85" i="6"/>
  <c r="U85" i="6"/>
  <c r="V85" i="6"/>
  <c r="F86" i="6"/>
  <c r="G86" i="6"/>
  <c r="H86" i="6"/>
  <c r="I86" i="6"/>
  <c r="J86" i="6"/>
  <c r="K86" i="6"/>
  <c r="L86" i="6"/>
  <c r="M86" i="6"/>
  <c r="N86" i="6"/>
  <c r="O86" i="6"/>
  <c r="P86" i="6"/>
  <c r="Q86" i="6"/>
  <c r="R86" i="6"/>
  <c r="S86" i="6"/>
  <c r="T86" i="6"/>
  <c r="U86" i="6"/>
  <c r="V86" i="6"/>
  <c r="F87" i="6"/>
  <c r="G87" i="6"/>
  <c r="H87" i="6"/>
  <c r="I87" i="6"/>
  <c r="J87" i="6"/>
  <c r="K87" i="6"/>
  <c r="L87" i="6"/>
  <c r="M87" i="6"/>
  <c r="N87" i="6"/>
  <c r="O87" i="6"/>
  <c r="P87" i="6"/>
  <c r="Q87" i="6"/>
  <c r="R87" i="6"/>
  <c r="S87" i="6"/>
  <c r="T87" i="6"/>
  <c r="U87" i="6"/>
  <c r="V87" i="6"/>
  <c r="F88" i="6"/>
  <c r="G88" i="6"/>
  <c r="H88" i="6"/>
  <c r="I88" i="6"/>
  <c r="J88" i="6"/>
  <c r="K88" i="6"/>
  <c r="L88" i="6"/>
  <c r="M88" i="6"/>
  <c r="N88" i="6"/>
  <c r="O88" i="6"/>
  <c r="P88" i="6"/>
  <c r="Q88" i="6"/>
  <c r="R88" i="6"/>
  <c r="S88" i="6"/>
  <c r="T88" i="6"/>
  <c r="U88" i="6"/>
  <c r="V88" i="6"/>
  <c r="F89" i="6"/>
  <c r="G89" i="6"/>
  <c r="H89" i="6"/>
  <c r="I89" i="6"/>
  <c r="J89" i="6"/>
  <c r="K89" i="6"/>
  <c r="L89" i="6"/>
  <c r="M89" i="6"/>
  <c r="N89" i="6"/>
  <c r="O89" i="6"/>
  <c r="P89" i="6"/>
  <c r="Q89" i="6"/>
  <c r="R89" i="6"/>
  <c r="S89" i="6"/>
  <c r="T89" i="6"/>
  <c r="U89" i="6"/>
  <c r="V89" i="6"/>
  <c r="F90" i="6"/>
  <c r="G90" i="6"/>
  <c r="H90" i="6"/>
  <c r="I90" i="6"/>
  <c r="J90" i="6"/>
  <c r="K90" i="6"/>
  <c r="L90" i="6"/>
  <c r="M90" i="6"/>
  <c r="N90" i="6"/>
  <c r="O90" i="6"/>
  <c r="P90" i="6"/>
  <c r="Q90" i="6"/>
  <c r="R90" i="6"/>
  <c r="S90" i="6"/>
  <c r="T90" i="6"/>
  <c r="U90" i="6"/>
  <c r="V90" i="6"/>
  <c r="F91" i="6"/>
  <c r="G91" i="6"/>
  <c r="H91" i="6"/>
  <c r="I91" i="6"/>
  <c r="J91" i="6"/>
  <c r="K91" i="6"/>
  <c r="L91" i="6"/>
  <c r="M91" i="6"/>
  <c r="N91" i="6"/>
  <c r="O91" i="6"/>
  <c r="P91" i="6"/>
  <c r="Q91" i="6"/>
  <c r="R91" i="6"/>
  <c r="S91" i="6"/>
  <c r="T91" i="6"/>
  <c r="U91" i="6"/>
  <c r="V91" i="6"/>
  <c r="F92" i="6"/>
  <c r="G92" i="6"/>
  <c r="H92" i="6"/>
  <c r="I92" i="6"/>
  <c r="J92" i="6"/>
  <c r="K92" i="6"/>
  <c r="L92" i="6"/>
  <c r="M92" i="6"/>
  <c r="N92" i="6"/>
  <c r="O92" i="6"/>
  <c r="P92" i="6"/>
  <c r="Q92" i="6"/>
  <c r="R92" i="6"/>
  <c r="S92" i="6"/>
  <c r="T92" i="6"/>
  <c r="U92" i="6"/>
  <c r="V92" i="6"/>
  <c r="F93" i="6"/>
  <c r="G93" i="6"/>
  <c r="H93" i="6"/>
  <c r="I93" i="6"/>
  <c r="J93" i="6"/>
  <c r="K93" i="6"/>
  <c r="L93" i="6"/>
  <c r="M93" i="6"/>
  <c r="N93" i="6"/>
  <c r="O93" i="6"/>
  <c r="P93" i="6"/>
  <c r="Q93" i="6"/>
  <c r="R93" i="6"/>
  <c r="S93" i="6"/>
  <c r="T93" i="6"/>
  <c r="U93" i="6"/>
  <c r="V93" i="6"/>
  <c r="F94" i="6"/>
  <c r="G94" i="6"/>
  <c r="H94" i="6"/>
  <c r="I94" i="6"/>
  <c r="J94" i="6"/>
  <c r="K94" i="6"/>
  <c r="L94" i="6"/>
  <c r="M94" i="6"/>
  <c r="N94" i="6"/>
  <c r="O94" i="6"/>
  <c r="P94" i="6"/>
  <c r="Q94" i="6"/>
  <c r="R94" i="6"/>
  <c r="S94" i="6"/>
  <c r="T94" i="6"/>
  <c r="U94" i="6"/>
  <c r="V94" i="6"/>
  <c r="E94" i="6"/>
  <c r="W94" i="6" s="1"/>
  <c r="X94" i="6" s="1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B5" i="5"/>
  <c r="B4" i="5"/>
  <c r="D84" i="11"/>
  <c r="V84" i="11" s="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D85" i="11"/>
  <c r="V85" i="11" s="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D87" i="11"/>
  <c r="V87" i="11" s="1"/>
  <c r="W87" i="11" s="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D88" i="11"/>
  <c r="V88" i="11" s="1"/>
  <c r="W88" i="11" s="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D83" i="11"/>
  <c r="V83" i="11" s="1"/>
  <c r="G79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E79" i="11"/>
  <c r="F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D78" i="11"/>
  <c r="V78" i="11" s="1"/>
  <c r="W78" i="11" s="1"/>
  <c r="D79" i="11"/>
  <c r="V79" i="11" s="1"/>
  <c r="W79" i="11" s="1"/>
  <c r="D80" i="11"/>
  <c r="V80" i="11" s="1"/>
  <c r="W80" i="11" s="1"/>
  <c r="D81" i="11"/>
  <c r="V81" i="11" s="1"/>
  <c r="W81" i="11" s="1"/>
  <c r="D82" i="11"/>
  <c r="V82" i="11" s="1"/>
  <c r="W82" i="11" s="1"/>
  <c r="D77" i="11"/>
  <c r="V77" i="11" s="1"/>
  <c r="W77" i="11" s="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D72" i="11"/>
  <c r="V72" i="11" s="1"/>
  <c r="D73" i="11"/>
  <c r="V73" i="11" s="1"/>
  <c r="W73" i="11" s="1"/>
  <c r="D74" i="11"/>
  <c r="V74" i="11" s="1"/>
  <c r="W74" i="11" s="1"/>
  <c r="D75" i="11"/>
  <c r="V75" i="11" s="1"/>
  <c r="W75" i="11" s="1"/>
  <c r="D76" i="11"/>
  <c r="V76" i="11" s="1"/>
  <c r="W76" i="11" s="1"/>
  <c r="D71" i="11"/>
  <c r="V71" i="11" s="1"/>
  <c r="T66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U66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D66" i="11"/>
  <c r="V66" i="11" s="1"/>
  <c r="D67" i="11"/>
  <c r="V67" i="11" s="1"/>
  <c r="D68" i="11"/>
  <c r="V68" i="11" s="1"/>
  <c r="W68" i="11" s="1"/>
  <c r="D69" i="11"/>
  <c r="V69" i="11" s="1"/>
  <c r="W69" i="11" s="1"/>
  <c r="D70" i="11"/>
  <c r="V70" i="11" s="1"/>
  <c r="W70" i="11" s="1"/>
  <c r="D65" i="11"/>
  <c r="V65" i="11" s="1"/>
  <c r="W65" i="11" s="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U61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U64" i="11"/>
  <c r="D60" i="11"/>
  <c r="V60" i="11" s="1"/>
  <c r="D61" i="11"/>
  <c r="V61" i="11" s="1"/>
  <c r="D62" i="11"/>
  <c r="V62" i="11" s="1"/>
  <c r="W62" i="11" s="1"/>
  <c r="D63" i="11"/>
  <c r="V63" i="11" s="1"/>
  <c r="D64" i="11"/>
  <c r="V64" i="11" s="1"/>
  <c r="D59" i="11"/>
  <c r="B2" i="5"/>
  <c r="AA3" i="14"/>
  <c r="V4" i="14"/>
  <c r="W4" i="14"/>
  <c r="X4" i="14"/>
  <c r="Y4" i="14"/>
  <c r="Z4" i="14"/>
  <c r="AA4" i="14"/>
  <c r="AB4" i="14"/>
  <c r="AC4" i="14"/>
  <c r="AD4" i="14"/>
  <c r="AE4" i="14"/>
  <c r="AF4" i="14"/>
  <c r="V5" i="14"/>
  <c r="W5" i="14"/>
  <c r="X5" i="14"/>
  <c r="Y5" i="14"/>
  <c r="Z5" i="14"/>
  <c r="AA5" i="14"/>
  <c r="AB5" i="14"/>
  <c r="AC5" i="14"/>
  <c r="AD5" i="14"/>
  <c r="AE5" i="14"/>
  <c r="AF5" i="14"/>
  <c r="V6" i="14"/>
  <c r="W6" i="14"/>
  <c r="X6" i="14"/>
  <c r="Y6" i="14"/>
  <c r="Z6" i="14"/>
  <c r="AA6" i="14"/>
  <c r="AB6" i="14"/>
  <c r="AC6" i="14"/>
  <c r="AD6" i="14"/>
  <c r="AE6" i="14"/>
  <c r="AF6" i="14"/>
  <c r="V7" i="14"/>
  <c r="W7" i="14"/>
  <c r="X7" i="14"/>
  <c r="Y7" i="14"/>
  <c r="Z7" i="14"/>
  <c r="AA7" i="14"/>
  <c r="AB7" i="14"/>
  <c r="AC7" i="14"/>
  <c r="AD7" i="14"/>
  <c r="AE7" i="14"/>
  <c r="AF7" i="14"/>
  <c r="V8" i="14"/>
  <c r="W8" i="14"/>
  <c r="X8" i="14"/>
  <c r="Y8" i="14"/>
  <c r="Z8" i="14"/>
  <c r="AA8" i="14"/>
  <c r="AB8" i="14"/>
  <c r="V9" i="14"/>
  <c r="W9" i="14"/>
  <c r="X9" i="14"/>
  <c r="Y9" i="14"/>
  <c r="Z9" i="14"/>
  <c r="AA9" i="14"/>
  <c r="AB9" i="14"/>
  <c r="V10" i="14"/>
  <c r="W10" i="14"/>
  <c r="X10" i="14"/>
  <c r="V11" i="14"/>
  <c r="W11" i="14" s="1"/>
  <c r="V12" i="14"/>
  <c r="V13" i="14"/>
  <c r="V14" i="14"/>
  <c r="W14" i="14"/>
  <c r="X14" i="14"/>
  <c r="V15" i="14"/>
  <c r="V16" i="14"/>
  <c r="V17" i="14"/>
  <c r="V18" i="14"/>
  <c r="W18" i="14"/>
  <c r="X18" i="14" s="1"/>
  <c r="V19" i="14"/>
  <c r="W19" i="14"/>
  <c r="V20" i="14"/>
  <c r="AB3" i="14"/>
  <c r="Z3" i="14"/>
  <c r="Y3" i="14"/>
  <c r="W3" i="14"/>
  <c r="X3" i="14"/>
  <c r="V3" i="14"/>
  <c r="L25" i="14"/>
  <c r="L46" i="14" s="1"/>
  <c r="M25" i="14"/>
  <c r="M46" i="14" s="1"/>
  <c r="N25" i="14"/>
  <c r="N46" i="14" s="1"/>
  <c r="O25" i="14"/>
  <c r="O46" i="14" s="1"/>
  <c r="P25" i="14"/>
  <c r="P46" i="14" s="1"/>
  <c r="Q25" i="14"/>
  <c r="Q46" i="14" s="1"/>
  <c r="R25" i="14"/>
  <c r="R46" i="14" s="1"/>
  <c r="S25" i="14"/>
  <c r="S46" i="14" s="1"/>
  <c r="T25" i="14"/>
  <c r="T46" i="14" s="1"/>
  <c r="U25" i="14"/>
  <c r="U46" i="14" s="1"/>
  <c r="L26" i="14"/>
  <c r="L47" i="14" s="1"/>
  <c r="M26" i="14"/>
  <c r="M47" i="14" s="1"/>
  <c r="N26" i="14"/>
  <c r="N47" i="14" s="1"/>
  <c r="O26" i="14"/>
  <c r="O47" i="14" s="1"/>
  <c r="P26" i="14"/>
  <c r="P47" i="14" s="1"/>
  <c r="Q26" i="14"/>
  <c r="Q47" i="14" s="1"/>
  <c r="R26" i="14"/>
  <c r="R47" i="14" s="1"/>
  <c r="S26" i="14"/>
  <c r="S47" i="14" s="1"/>
  <c r="T26" i="14"/>
  <c r="T47" i="14" s="1"/>
  <c r="U26" i="14"/>
  <c r="U47" i="14" s="1"/>
  <c r="L27" i="14"/>
  <c r="L48" i="14" s="1"/>
  <c r="M27" i="14"/>
  <c r="M48" i="14" s="1"/>
  <c r="N27" i="14"/>
  <c r="N48" i="14" s="1"/>
  <c r="O27" i="14"/>
  <c r="O48" i="14" s="1"/>
  <c r="P27" i="14"/>
  <c r="P48" i="14" s="1"/>
  <c r="Q27" i="14"/>
  <c r="Q48" i="14" s="1"/>
  <c r="R27" i="14"/>
  <c r="R48" i="14" s="1"/>
  <c r="S27" i="14"/>
  <c r="S48" i="14" s="1"/>
  <c r="T27" i="14"/>
  <c r="T48" i="14" s="1"/>
  <c r="U27" i="14"/>
  <c r="U48" i="14" s="1"/>
  <c r="L28" i="14"/>
  <c r="L49" i="14" s="1"/>
  <c r="M28" i="14"/>
  <c r="M49" i="14" s="1"/>
  <c r="N28" i="14"/>
  <c r="N49" i="14" s="1"/>
  <c r="O28" i="14"/>
  <c r="O49" i="14" s="1"/>
  <c r="P28" i="14"/>
  <c r="P49" i="14" s="1"/>
  <c r="Q28" i="14"/>
  <c r="Q49" i="14" s="1"/>
  <c r="R28" i="14"/>
  <c r="R49" i="14" s="1"/>
  <c r="S28" i="14"/>
  <c r="S49" i="14" s="1"/>
  <c r="T28" i="14"/>
  <c r="T49" i="14" s="1"/>
  <c r="U28" i="14"/>
  <c r="U49" i="14" s="1"/>
  <c r="L29" i="14"/>
  <c r="L50" i="14" s="1"/>
  <c r="M29" i="14"/>
  <c r="M50" i="14" s="1"/>
  <c r="N29" i="14"/>
  <c r="N50" i="14" s="1"/>
  <c r="O29" i="14"/>
  <c r="O50" i="14" s="1"/>
  <c r="P29" i="14"/>
  <c r="P50" i="14" s="1"/>
  <c r="Q29" i="14"/>
  <c r="Q50" i="14" s="1"/>
  <c r="R29" i="14"/>
  <c r="R50" i="14" s="1"/>
  <c r="S29" i="14"/>
  <c r="S50" i="14" s="1"/>
  <c r="T29" i="14"/>
  <c r="T50" i="14" s="1"/>
  <c r="U29" i="14"/>
  <c r="U50" i="14" s="1"/>
  <c r="L30" i="14"/>
  <c r="L51" i="14" s="1"/>
  <c r="M30" i="14"/>
  <c r="M51" i="14" s="1"/>
  <c r="N30" i="14"/>
  <c r="N51" i="14" s="1"/>
  <c r="O30" i="14"/>
  <c r="O51" i="14" s="1"/>
  <c r="P30" i="14"/>
  <c r="P51" i="14" s="1"/>
  <c r="Q30" i="14"/>
  <c r="Q51" i="14" s="1"/>
  <c r="R30" i="14"/>
  <c r="R51" i="14" s="1"/>
  <c r="S30" i="14"/>
  <c r="S51" i="14" s="1"/>
  <c r="T30" i="14"/>
  <c r="T51" i="14" s="1"/>
  <c r="U30" i="14"/>
  <c r="U51" i="14" s="1"/>
  <c r="L31" i="14"/>
  <c r="L52" i="14" s="1"/>
  <c r="M31" i="14"/>
  <c r="M52" i="14" s="1"/>
  <c r="N31" i="14"/>
  <c r="N52" i="14" s="1"/>
  <c r="O31" i="14"/>
  <c r="O52" i="14" s="1"/>
  <c r="P31" i="14"/>
  <c r="P52" i="14" s="1"/>
  <c r="Q31" i="14"/>
  <c r="Q52" i="14" s="1"/>
  <c r="R31" i="14"/>
  <c r="R52" i="14" s="1"/>
  <c r="S31" i="14"/>
  <c r="S52" i="14" s="1"/>
  <c r="T31" i="14"/>
  <c r="T52" i="14" s="1"/>
  <c r="U31" i="14"/>
  <c r="U52" i="14" s="1"/>
  <c r="L32" i="14"/>
  <c r="L53" i="14" s="1"/>
  <c r="M32" i="14"/>
  <c r="M53" i="14" s="1"/>
  <c r="N32" i="14"/>
  <c r="N53" i="14" s="1"/>
  <c r="O32" i="14"/>
  <c r="O53" i="14" s="1"/>
  <c r="P32" i="14"/>
  <c r="P53" i="14" s="1"/>
  <c r="Q32" i="14"/>
  <c r="Q53" i="14" s="1"/>
  <c r="R32" i="14"/>
  <c r="R53" i="14" s="1"/>
  <c r="S32" i="14"/>
  <c r="S53" i="14" s="1"/>
  <c r="T32" i="14"/>
  <c r="T53" i="14" s="1"/>
  <c r="U32" i="14"/>
  <c r="U53" i="14" s="1"/>
  <c r="L33" i="14"/>
  <c r="L54" i="14" s="1"/>
  <c r="M33" i="14"/>
  <c r="M54" i="14" s="1"/>
  <c r="N33" i="14"/>
  <c r="N54" i="14" s="1"/>
  <c r="O33" i="14"/>
  <c r="O54" i="14" s="1"/>
  <c r="P33" i="14"/>
  <c r="P54" i="14" s="1"/>
  <c r="Q33" i="14"/>
  <c r="Q54" i="14" s="1"/>
  <c r="R33" i="14"/>
  <c r="R54" i="14" s="1"/>
  <c r="S33" i="14"/>
  <c r="S54" i="14" s="1"/>
  <c r="T33" i="14"/>
  <c r="T54" i="14" s="1"/>
  <c r="U33" i="14"/>
  <c r="U54" i="14" s="1"/>
  <c r="L34" i="14"/>
  <c r="L55" i="14" s="1"/>
  <c r="M34" i="14"/>
  <c r="M55" i="14" s="1"/>
  <c r="N34" i="14"/>
  <c r="N55" i="14" s="1"/>
  <c r="O34" i="14"/>
  <c r="O55" i="14" s="1"/>
  <c r="P34" i="14"/>
  <c r="P55" i="14" s="1"/>
  <c r="Q34" i="14"/>
  <c r="Q55" i="14" s="1"/>
  <c r="R34" i="14"/>
  <c r="R55" i="14" s="1"/>
  <c r="S34" i="14"/>
  <c r="S55" i="14" s="1"/>
  <c r="T34" i="14"/>
  <c r="T55" i="14" s="1"/>
  <c r="U34" i="14"/>
  <c r="U55" i="14" s="1"/>
  <c r="L35" i="14"/>
  <c r="L56" i="14" s="1"/>
  <c r="M35" i="14"/>
  <c r="M56" i="14" s="1"/>
  <c r="N35" i="14"/>
  <c r="N56" i="14" s="1"/>
  <c r="O35" i="14"/>
  <c r="O56" i="14" s="1"/>
  <c r="P35" i="14"/>
  <c r="P56" i="14" s="1"/>
  <c r="Q35" i="14"/>
  <c r="Q56" i="14" s="1"/>
  <c r="R35" i="14"/>
  <c r="R56" i="14" s="1"/>
  <c r="S35" i="14"/>
  <c r="S56" i="14" s="1"/>
  <c r="T35" i="14"/>
  <c r="T56" i="14" s="1"/>
  <c r="U35" i="14"/>
  <c r="U56" i="14" s="1"/>
  <c r="L36" i="14"/>
  <c r="L57" i="14" s="1"/>
  <c r="M36" i="14"/>
  <c r="M57" i="14" s="1"/>
  <c r="N36" i="14"/>
  <c r="N57" i="14" s="1"/>
  <c r="O36" i="14"/>
  <c r="O57" i="14" s="1"/>
  <c r="P36" i="14"/>
  <c r="P57" i="14" s="1"/>
  <c r="Q36" i="14"/>
  <c r="Q57" i="14" s="1"/>
  <c r="R36" i="14"/>
  <c r="R57" i="14" s="1"/>
  <c r="S36" i="14"/>
  <c r="S57" i="14" s="1"/>
  <c r="T36" i="14"/>
  <c r="T57" i="14" s="1"/>
  <c r="U36" i="14"/>
  <c r="U57" i="14" s="1"/>
  <c r="L37" i="14"/>
  <c r="L58" i="14" s="1"/>
  <c r="M37" i="14"/>
  <c r="M58" i="14" s="1"/>
  <c r="N37" i="14"/>
  <c r="N58" i="14" s="1"/>
  <c r="O37" i="14"/>
  <c r="O58" i="14" s="1"/>
  <c r="P37" i="14"/>
  <c r="P58" i="14" s="1"/>
  <c r="Q37" i="14"/>
  <c r="Q58" i="14" s="1"/>
  <c r="R37" i="14"/>
  <c r="R58" i="14" s="1"/>
  <c r="S37" i="14"/>
  <c r="S58" i="14" s="1"/>
  <c r="T37" i="14"/>
  <c r="T58" i="14" s="1"/>
  <c r="U37" i="14"/>
  <c r="U58" i="14" s="1"/>
  <c r="L38" i="14"/>
  <c r="L59" i="14" s="1"/>
  <c r="M38" i="14"/>
  <c r="M59" i="14" s="1"/>
  <c r="N38" i="14"/>
  <c r="N59" i="14" s="1"/>
  <c r="O38" i="14"/>
  <c r="O59" i="14" s="1"/>
  <c r="P38" i="14"/>
  <c r="P59" i="14" s="1"/>
  <c r="Q38" i="14"/>
  <c r="Q59" i="14" s="1"/>
  <c r="R38" i="14"/>
  <c r="R59" i="14" s="1"/>
  <c r="S38" i="14"/>
  <c r="S59" i="14" s="1"/>
  <c r="T38" i="14"/>
  <c r="T59" i="14" s="1"/>
  <c r="U38" i="14"/>
  <c r="U59" i="14" s="1"/>
  <c r="L39" i="14"/>
  <c r="L60" i="14" s="1"/>
  <c r="M39" i="14"/>
  <c r="M60" i="14" s="1"/>
  <c r="N39" i="14"/>
  <c r="N60" i="14" s="1"/>
  <c r="O39" i="14"/>
  <c r="O60" i="14" s="1"/>
  <c r="P39" i="14"/>
  <c r="P60" i="14" s="1"/>
  <c r="Q39" i="14"/>
  <c r="Q60" i="14" s="1"/>
  <c r="R39" i="14"/>
  <c r="R60" i="14" s="1"/>
  <c r="S39" i="14"/>
  <c r="S60" i="14" s="1"/>
  <c r="T39" i="14"/>
  <c r="T60" i="14" s="1"/>
  <c r="U39" i="14"/>
  <c r="U60" i="14" s="1"/>
  <c r="L40" i="14"/>
  <c r="L61" i="14" s="1"/>
  <c r="M40" i="14"/>
  <c r="M61" i="14" s="1"/>
  <c r="N40" i="14"/>
  <c r="N61" i="14" s="1"/>
  <c r="O40" i="14"/>
  <c r="O61" i="14" s="1"/>
  <c r="P40" i="14"/>
  <c r="P61" i="14" s="1"/>
  <c r="Q40" i="14"/>
  <c r="Q61" i="14" s="1"/>
  <c r="R40" i="14"/>
  <c r="R61" i="14" s="1"/>
  <c r="S40" i="14"/>
  <c r="S61" i="14" s="1"/>
  <c r="T40" i="14"/>
  <c r="T61" i="14" s="1"/>
  <c r="U40" i="14"/>
  <c r="U61" i="14" s="1"/>
  <c r="L41" i="14"/>
  <c r="L62" i="14" s="1"/>
  <c r="M41" i="14"/>
  <c r="M62" i="14" s="1"/>
  <c r="N41" i="14"/>
  <c r="N62" i="14" s="1"/>
  <c r="O41" i="14"/>
  <c r="O62" i="14" s="1"/>
  <c r="P41" i="14"/>
  <c r="P62" i="14" s="1"/>
  <c r="Q41" i="14"/>
  <c r="Q62" i="14" s="1"/>
  <c r="R41" i="14"/>
  <c r="R62" i="14" s="1"/>
  <c r="S41" i="14"/>
  <c r="S62" i="14" s="1"/>
  <c r="T41" i="14"/>
  <c r="T62" i="14" s="1"/>
  <c r="U41" i="14"/>
  <c r="U62" i="14" s="1"/>
  <c r="L24" i="14"/>
  <c r="L45" i="14" s="1"/>
  <c r="M24" i="14"/>
  <c r="M45" i="14" s="1"/>
  <c r="N24" i="14"/>
  <c r="N45" i="14" s="1"/>
  <c r="O24" i="14"/>
  <c r="O45" i="14" s="1"/>
  <c r="P24" i="14"/>
  <c r="P45" i="14" s="1"/>
  <c r="Q24" i="14"/>
  <c r="Q45" i="14" s="1"/>
  <c r="R24" i="14"/>
  <c r="S24" i="14"/>
  <c r="T24" i="14"/>
  <c r="U24" i="14"/>
  <c r="S45" i="14"/>
  <c r="R45" i="14"/>
  <c r="T45" i="14"/>
  <c r="U45" i="14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B32" i="5"/>
  <c r="B33" i="5"/>
  <c r="B34" i="5"/>
  <c r="B35" i="5"/>
  <c r="B36" i="5"/>
  <c r="B37" i="5"/>
  <c r="B38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9" i="5"/>
  <c r="T5" i="11"/>
  <c r="T61" i="11" s="1"/>
  <c r="T8" i="11"/>
  <c r="T64" i="11" s="1"/>
  <c r="W93" i="6" l="1"/>
  <c r="W91" i="6"/>
  <c r="W90" i="6"/>
  <c r="W88" i="6"/>
  <c r="W87" i="6"/>
  <c r="W86" i="6"/>
  <c r="W85" i="6"/>
  <c r="W84" i="6"/>
  <c r="X84" i="6" s="1"/>
  <c r="W83" i="6"/>
  <c r="W82" i="6"/>
  <c r="W81" i="6"/>
  <c r="W80" i="6"/>
  <c r="W79" i="6"/>
  <c r="X79" i="6" s="1"/>
  <c r="W78" i="6"/>
  <c r="X78" i="6" s="1"/>
  <c r="W77" i="6"/>
  <c r="X77" i="6" s="1"/>
  <c r="W76" i="6"/>
  <c r="X76" i="6" s="1"/>
  <c r="W75" i="6"/>
  <c r="X75" i="6" s="1"/>
  <c r="W74" i="6"/>
  <c r="X74" i="6" s="1"/>
  <c r="Y74" i="6" s="1"/>
  <c r="W73" i="6"/>
  <c r="W72" i="6"/>
  <c r="W71" i="6"/>
  <c r="W70" i="6"/>
  <c r="W69" i="6"/>
  <c r="W68" i="6"/>
  <c r="W67" i="6"/>
  <c r="W66" i="6"/>
  <c r="W65" i="6"/>
  <c r="W92" i="6"/>
  <c r="X92" i="6" s="1"/>
  <c r="Y92" i="6" s="1"/>
  <c r="W89" i="6"/>
  <c r="X89" i="6" s="1"/>
  <c r="X90" i="6"/>
  <c r="Y90" i="6" s="1"/>
  <c r="X91" i="6"/>
  <c r="Y91" i="6" s="1"/>
  <c r="X93" i="6"/>
  <c r="Y93" i="6" s="1"/>
  <c r="Y94" i="6"/>
  <c r="X71" i="6"/>
  <c r="Y71" i="6" s="1"/>
  <c r="X72" i="6"/>
  <c r="Y75" i="6"/>
  <c r="Y76" i="6"/>
  <c r="Z76" i="6" s="1"/>
  <c r="Y77" i="6"/>
  <c r="Z77" i="6"/>
  <c r="Y78" i="6"/>
  <c r="Y79" i="6"/>
  <c r="X80" i="6"/>
  <c r="X81" i="6"/>
  <c r="X82" i="6"/>
  <c r="Y82" i="6" s="1"/>
  <c r="X83" i="6"/>
  <c r="Y84" i="6"/>
  <c r="X85" i="6"/>
  <c r="Y85" i="6" s="1"/>
  <c r="X86" i="6"/>
  <c r="X87" i="6"/>
  <c r="X88" i="6"/>
  <c r="B3" i="5"/>
  <c r="V86" i="11"/>
  <c r="W86" i="11"/>
  <c r="X86" i="11" s="1"/>
  <c r="V59" i="11"/>
  <c r="W59" i="11" s="1"/>
  <c r="W60" i="11"/>
  <c r="X60" i="11"/>
  <c r="W61" i="11"/>
  <c r="X61" i="11" s="1"/>
  <c r="X62" i="11"/>
  <c r="W63" i="11"/>
  <c r="X63" i="11" s="1"/>
  <c r="W64" i="11"/>
  <c r="X64" i="11" s="1"/>
  <c r="X65" i="11"/>
  <c r="Y65" i="11" s="1"/>
  <c r="W66" i="11"/>
  <c r="X66" i="11" s="1"/>
  <c r="W67" i="11"/>
  <c r="X67" i="11" s="1"/>
  <c r="X68" i="11"/>
  <c r="Y68" i="11" s="1"/>
  <c r="X69" i="11"/>
  <c r="X70" i="11"/>
  <c r="W71" i="11"/>
  <c r="X71" i="11" s="1"/>
  <c r="Y71" i="11" s="1"/>
  <c r="W72" i="11"/>
  <c r="X72" i="11" s="1"/>
  <c r="X73" i="11"/>
  <c r="X74" i="11"/>
  <c r="X75" i="11"/>
  <c r="X76" i="11"/>
  <c r="X77" i="11"/>
  <c r="Y77" i="11" s="1"/>
  <c r="X78" i="11"/>
  <c r="X79" i="11"/>
  <c r="X80" i="11"/>
  <c r="X81" i="11"/>
  <c r="X82" i="11"/>
  <c r="W83" i="11"/>
  <c r="X83" i="11" s="1"/>
  <c r="W84" i="11"/>
  <c r="X84" i="11" s="1"/>
  <c r="W85" i="11"/>
  <c r="X85" i="11" s="1"/>
  <c r="Y86" i="11"/>
  <c r="Z86" i="11"/>
  <c r="X87" i="11"/>
  <c r="Y87" i="11"/>
  <c r="X88" i="11"/>
  <c r="AC3" i="14"/>
  <c r="AD3" i="14" s="1"/>
  <c r="AE3" i="14" s="1"/>
  <c r="AF3" i="14" s="1"/>
  <c r="AC8" i="14"/>
  <c r="AC9" i="14"/>
  <c r="Y10" i="14"/>
  <c r="AB10" i="14" s="1"/>
  <c r="Z10" i="14"/>
  <c r="AA10" i="14"/>
  <c r="X11" i="14"/>
  <c r="Y11" i="14"/>
  <c r="W12" i="14"/>
  <c r="X12" i="14" s="1"/>
  <c r="W13" i="14"/>
  <c r="X13" i="14" s="1"/>
  <c r="Y14" i="14"/>
  <c r="W15" i="14"/>
  <c r="W16" i="14"/>
  <c r="X16" i="14" s="1"/>
  <c r="Y16" i="14" s="1"/>
  <c r="W17" i="14"/>
  <c r="X17" i="14" s="1"/>
  <c r="Y18" i="14"/>
  <c r="X19" i="14"/>
  <c r="Y19" i="14"/>
  <c r="W20" i="14"/>
  <c r="V70" i="14"/>
  <c r="V71" i="14"/>
  <c r="V73" i="14"/>
  <c r="V74" i="14"/>
  <c r="V75" i="14"/>
  <c r="V76" i="14"/>
  <c r="V78" i="14"/>
  <c r="V79" i="14"/>
  <c r="V80" i="14"/>
  <c r="X80" i="14"/>
  <c r="V81" i="14"/>
  <c r="V82" i="14"/>
  <c r="X68" i="6" l="1"/>
  <c r="Y68" i="6"/>
  <c r="X67" i="6"/>
  <c r="X66" i="6"/>
  <c r="Y66" i="6"/>
  <c r="X65" i="6"/>
  <c r="X73" i="6"/>
  <c r="Y73" i="6" s="1"/>
  <c r="Z73" i="6" s="1"/>
  <c r="X70" i="6"/>
  <c r="Y70" i="6" s="1"/>
  <c r="X69" i="6"/>
  <c r="Y69" i="6" s="1"/>
  <c r="Y65" i="6"/>
  <c r="Y89" i="6"/>
  <c r="Y67" i="6"/>
  <c r="Z65" i="6"/>
  <c r="Z90" i="6"/>
  <c r="Z91" i="6"/>
  <c r="AA91" i="6" s="1"/>
  <c r="Z93" i="6"/>
  <c r="Z89" i="6"/>
  <c r="AA89" i="6" s="1"/>
  <c r="Z92" i="6"/>
  <c r="Z94" i="6"/>
  <c r="Z67" i="6"/>
  <c r="Z71" i="6"/>
  <c r="Z82" i="6"/>
  <c r="Z85" i="6"/>
  <c r="Z66" i="6"/>
  <c r="Z68" i="6"/>
  <c r="Z69" i="6"/>
  <c r="Z70" i="6"/>
  <c r="Y72" i="6"/>
  <c r="AA73" i="6"/>
  <c r="Z74" i="6"/>
  <c r="AA74" i="6" s="1"/>
  <c r="Z75" i="6"/>
  <c r="AA76" i="6"/>
  <c r="AA77" i="6"/>
  <c r="Z78" i="6"/>
  <c r="Z79" i="6"/>
  <c r="Y80" i="6"/>
  <c r="Y81" i="6"/>
  <c r="Y83" i="6"/>
  <c r="Z84" i="6"/>
  <c r="Y86" i="6"/>
  <c r="Y87" i="6"/>
  <c r="Y88" i="6"/>
  <c r="Z88" i="6" s="1"/>
  <c r="X59" i="11"/>
  <c r="Y69" i="11"/>
  <c r="Z69" i="11" s="1"/>
  <c r="Y70" i="11"/>
  <c r="Z70" i="11" s="1"/>
  <c r="Y78" i="11"/>
  <c r="Z78" i="11" s="1"/>
  <c r="Y79" i="11"/>
  <c r="Z79" i="11" s="1"/>
  <c r="Y80" i="11"/>
  <c r="Z80" i="11" s="1"/>
  <c r="Y81" i="11"/>
  <c r="Z81" i="11" s="1"/>
  <c r="Y82" i="11"/>
  <c r="Z82" i="11" s="1"/>
  <c r="Y61" i="11"/>
  <c r="Y63" i="11"/>
  <c r="Y64" i="11"/>
  <c r="Y66" i="11"/>
  <c r="Y67" i="11"/>
  <c r="Z71" i="11"/>
  <c r="AA71" i="11" s="1"/>
  <c r="Y72" i="11"/>
  <c r="Y83" i="11"/>
  <c r="Y84" i="11"/>
  <c r="Z84" i="11"/>
  <c r="Y85" i="11"/>
  <c r="Z85" i="11" s="1"/>
  <c r="Y60" i="11"/>
  <c r="Y62" i="11"/>
  <c r="Z65" i="11"/>
  <c r="Z68" i="11"/>
  <c r="AA68" i="11" s="1"/>
  <c r="Y73" i="11"/>
  <c r="Y74" i="11"/>
  <c r="Y75" i="11"/>
  <c r="Y76" i="11"/>
  <c r="Z77" i="11"/>
  <c r="AA77" i="11" s="1"/>
  <c r="AA86" i="11"/>
  <c r="Z87" i="11"/>
  <c r="AA87" i="11" s="1"/>
  <c r="Y88" i="11"/>
  <c r="AC10" i="14"/>
  <c r="Y12" i="14"/>
  <c r="Z12" i="14"/>
  <c r="Y13" i="14"/>
  <c r="AB14" i="14"/>
  <c r="X15" i="14"/>
  <c r="Z16" i="14"/>
  <c r="Y17" i="14"/>
  <c r="Z17" i="14"/>
  <c r="Z19" i="14"/>
  <c r="X20" i="14"/>
  <c r="Z20" i="14"/>
  <c r="AA20" i="14"/>
  <c r="AB20" i="14"/>
  <c r="AD8" i="14"/>
  <c r="AE8" i="14" s="1"/>
  <c r="AF8" i="14" s="1"/>
  <c r="AD9" i="14"/>
  <c r="Z11" i="14"/>
  <c r="Z14" i="14"/>
  <c r="AA14" i="14"/>
  <c r="Z18" i="14"/>
  <c r="AA18" i="14"/>
  <c r="Y80" i="14"/>
  <c r="W75" i="14"/>
  <c r="V66" i="14"/>
  <c r="V67" i="14"/>
  <c r="V68" i="14"/>
  <c r="V69" i="14"/>
  <c r="Y69" i="14"/>
  <c r="V72" i="14"/>
  <c r="V77" i="14"/>
  <c r="V65" i="14"/>
  <c r="W70" i="14"/>
  <c r="X70" i="14"/>
  <c r="W71" i="14"/>
  <c r="W73" i="14"/>
  <c r="X73" i="14"/>
  <c r="W74" i="14"/>
  <c r="X74" i="14"/>
  <c r="X75" i="14"/>
  <c r="W76" i="14"/>
  <c r="W78" i="14"/>
  <c r="W79" i="14"/>
  <c r="W80" i="14"/>
  <c r="W81" i="14"/>
  <c r="W82" i="14"/>
  <c r="AA67" i="6" l="1"/>
  <c r="AA71" i="6"/>
  <c r="AA69" i="6"/>
  <c r="AA78" i="6"/>
  <c r="AB78" i="6" s="1"/>
  <c r="AA65" i="6"/>
  <c r="AA94" i="6"/>
  <c r="AA90" i="6"/>
  <c r="AB91" i="6"/>
  <c r="AA93" i="6"/>
  <c r="AB93" i="6" s="1"/>
  <c r="AB89" i="6"/>
  <c r="AC89" i="6" s="1"/>
  <c r="AA92" i="6"/>
  <c r="AB92" i="6" s="1"/>
  <c r="AB94" i="6"/>
  <c r="AC94" i="6" s="1"/>
  <c r="Z87" i="6"/>
  <c r="AB67" i="6"/>
  <c r="AB71" i="6"/>
  <c r="AA82" i="6"/>
  <c r="AA85" i="6"/>
  <c r="AA66" i="6"/>
  <c r="AA68" i="6"/>
  <c r="AA70" i="6"/>
  <c r="Z72" i="6"/>
  <c r="AA72" i="6" s="1"/>
  <c r="AB73" i="6"/>
  <c r="AB74" i="6"/>
  <c r="AA75" i="6"/>
  <c r="AB76" i="6"/>
  <c r="AB77" i="6"/>
  <c r="AA79" i="6"/>
  <c r="Z80" i="6"/>
  <c r="AA80" i="6" s="1"/>
  <c r="Z81" i="6"/>
  <c r="Z83" i="6"/>
  <c r="AA84" i="6"/>
  <c r="Z86" i="6"/>
  <c r="AA88" i="6"/>
  <c r="Y59" i="11"/>
  <c r="AA59" i="11" s="1"/>
  <c r="Z59" i="11"/>
  <c r="AA69" i="11"/>
  <c r="AB69" i="11"/>
  <c r="AA70" i="11"/>
  <c r="AB70" i="11" s="1"/>
  <c r="AA78" i="11"/>
  <c r="AC78" i="11" s="1"/>
  <c r="AB78" i="11"/>
  <c r="AA79" i="11"/>
  <c r="AA80" i="11"/>
  <c r="AB80" i="11" s="1"/>
  <c r="AA81" i="11"/>
  <c r="AA82" i="11"/>
  <c r="AB82" i="11" s="1"/>
  <c r="Z88" i="11"/>
  <c r="AA88" i="11" s="1"/>
  <c r="Z62" i="11"/>
  <c r="Z73" i="11"/>
  <c r="Z74" i="11"/>
  <c r="Z75" i="11"/>
  <c r="Z76" i="11"/>
  <c r="AB68" i="11"/>
  <c r="AC69" i="11"/>
  <c r="AD69" i="11" s="1"/>
  <c r="AB77" i="11"/>
  <c r="AB87" i="11"/>
  <c r="Z61" i="11"/>
  <c r="AA61" i="11"/>
  <c r="Z63" i="11"/>
  <c r="AA63" i="11" s="1"/>
  <c r="Z64" i="11"/>
  <c r="Z66" i="11"/>
  <c r="Z67" i="11"/>
  <c r="AB71" i="11"/>
  <c r="Z72" i="11"/>
  <c r="AA72" i="11" s="1"/>
  <c r="Z83" i="11"/>
  <c r="AA83" i="11" s="1"/>
  <c r="AA84" i="11"/>
  <c r="AA85" i="11"/>
  <c r="Z60" i="11"/>
  <c r="AA60" i="11" s="1"/>
  <c r="AA65" i="11"/>
  <c r="AC68" i="11"/>
  <c r="AE69" i="11"/>
  <c r="AF69" i="11" s="1"/>
  <c r="AA73" i="11"/>
  <c r="AA74" i="11"/>
  <c r="AB86" i="11"/>
  <c r="AA11" i="14"/>
  <c r="AB18" i="14"/>
  <c r="AD10" i="14"/>
  <c r="AB12" i="14"/>
  <c r="AA12" i="14"/>
  <c r="Z13" i="14"/>
  <c r="Y75" i="14"/>
  <c r="AC14" i="14"/>
  <c r="AD14" i="14"/>
  <c r="Y15" i="14"/>
  <c r="AA16" i="14"/>
  <c r="AA17" i="14"/>
  <c r="AA19" i="14"/>
  <c r="Y20" i="14"/>
  <c r="AC20" i="14"/>
  <c r="AE9" i="14"/>
  <c r="AF9" i="14"/>
  <c r="AB11" i="14"/>
  <c r="Y73" i="14"/>
  <c r="Y74" i="14"/>
  <c r="X76" i="14"/>
  <c r="X78" i="14"/>
  <c r="X79" i="14"/>
  <c r="Z80" i="14"/>
  <c r="X81" i="14"/>
  <c r="W66" i="14"/>
  <c r="W67" i="14"/>
  <c r="W68" i="14"/>
  <c r="X68" i="14"/>
  <c r="W69" i="14"/>
  <c r="X69" i="14"/>
  <c r="AA69" i="14"/>
  <c r="W72" i="14"/>
  <c r="X72" i="14"/>
  <c r="W77" i="14"/>
  <c r="W65" i="14"/>
  <c r="Y70" i="14"/>
  <c r="Z70" i="14"/>
  <c r="X71" i="14"/>
  <c r="Y71" i="14"/>
  <c r="Z73" i="14"/>
  <c r="X82" i="14"/>
  <c r="Y82" i="14"/>
  <c r="AC67" i="6" l="1"/>
  <c r="AC71" i="6"/>
  <c r="AB69" i="6"/>
  <c r="AD94" i="6"/>
  <c r="AE94" i="6" s="1"/>
  <c r="AF94" i="6" s="1"/>
  <c r="AG94" i="6" s="1"/>
  <c r="AA87" i="6"/>
  <c r="AB87" i="6" s="1"/>
  <c r="AB65" i="6"/>
  <c r="AB90" i="6"/>
  <c r="AC91" i="6"/>
  <c r="AC93" i="6"/>
  <c r="AD93" i="6" s="1"/>
  <c r="AD89" i="6"/>
  <c r="AE89" i="6" s="1"/>
  <c r="AC92" i="6"/>
  <c r="AB75" i="6"/>
  <c r="AB85" i="6"/>
  <c r="AC85" i="6" s="1"/>
  <c r="AC76" i="6"/>
  <c r="AB84" i="6"/>
  <c r="AC84" i="6" s="1"/>
  <c r="AD67" i="6"/>
  <c r="AD71" i="6"/>
  <c r="AB82" i="6"/>
  <c r="AB66" i="6"/>
  <c r="AB68" i="6"/>
  <c r="AB70" i="6"/>
  <c r="AB72" i="6"/>
  <c r="AC72" i="6" s="1"/>
  <c r="AC73" i="6"/>
  <c r="AC74" i="6"/>
  <c r="AC77" i="6"/>
  <c r="AC78" i="6"/>
  <c r="AD78" i="6" s="1"/>
  <c r="AE78" i="6" s="1"/>
  <c r="AB79" i="6"/>
  <c r="AB80" i="6"/>
  <c r="AC80" i="6" s="1"/>
  <c r="AA81" i="6"/>
  <c r="AA83" i="6"/>
  <c r="AA86" i="6"/>
  <c r="AB88" i="6"/>
  <c r="AB59" i="11"/>
  <c r="AD78" i="11"/>
  <c r="AC70" i="11"/>
  <c r="AD70" i="11" s="1"/>
  <c r="AE70" i="11" s="1"/>
  <c r="AF70" i="11" s="1"/>
  <c r="AE78" i="11"/>
  <c r="AF78" i="11" s="1"/>
  <c r="AB79" i="11"/>
  <c r="AC79" i="11" s="1"/>
  <c r="AC80" i="11"/>
  <c r="AB81" i="11"/>
  <c r="AC81" i="11" s="1"/>
  <c r="AC82" i="11"/>
  <c r="AD82" i="11" s="1"/>
  <c r="AE82" i="11" s="1"/>
  <c r="AF82" i="11" s="1"/>
  <c r="AB88" i="11"/>
  <c r="AC88" i="11" s="1"/>
  <c r="AC86" i="11"/>
  <c r="AD86" i="11" s="1"/>
  <c r="AE86" i="11" s="1"/>
  <c r="AF86" i="11" s="1"/>
  <c r="AA62" i="11"/>
  <c r="AB74" i="11"/>
  <c r="AA75" i="11"/>
  <c r="AB75" i="11" s="1"/>
  <c r="AA76" i="11"/>
  <c r="AC77" i="11"/>
  <c r="AB65" i="11"/>
  <c r="AC87" i="11"/>
  <c r="AB61" i="11"/>
  <c r="AC61" i="11" s="1"/>
  <c r="AB63" i="11"/>
  <c r="AA64" i="11"/>
  <c r="AA66" i="11"/>
  <c r="AB66" i="11" s="1"/>
  <c r="AA67" i="11"/>
  <c r="AC71" i="11"/>
  <c r="AB72" i="11"/>
  <c r="AB83" i="11"/>
  <c r="AB84" i="11"/>
  <c r="AC84" i="11" s="1"/>
  <c r="AB85" i="11"/>
  <c r="AB60" i="11"/>
  <c r="AC60" i="11" s="1"/>
  <c r="AD68" i="11"/>
  <c r="AB73" i="11"/>
  <c r="AC74" i="11"/>
  <c r="AA13" i="14"/>
  <c r="Z15" i="14"/>
  <c r="AB16" i="14"/>
  <c r="AD20" i="14"/>
  <c r="AC11" i="14"/>
  <c r="AC18" i="14"/>
  <c r="AE10" i="14"/>
  <c r="AF10" i="14" s="1"/>
  <c r="AC12" i="14"/>
  <c r="Z75" i="14"/>
  <c r="AE14" i="14"/>
  <c r="AF14" i="14" s="1"/>
  <c r="AC16" i="14"/>
  <c r="AB17" i="14"/>
  <c r="AB19" i="14"/>
  <c r="AC70" i="14"/>
  <c r="AA80" i="14"/>
  <c r="Y76" i="14"/>
  <c r="X66" i="14"/>
  <c r="X67" i="14"/>
  <c r="Y68" i="14"/>
  <c r="Y72" i="14"/>
  <c r="X77" i="14"/>
  <c r="X65" i="14"/>
  <c r="Z71" i="14"/>
  <c r="Y78" i="14"/>
  <c r="Y81" i="14"/>
  <c r="AB73" i="14"/>
  <c r="AA74" i="14"/>
  <c r="Y79" i="14"/>
  <c r="Z79" i="14"/>
  <c r="AB80" i="14"/>
  <c r="Z68" i="14"/>
  <c r="AB69" i="14"/>
  <c r="Z69" i="14"/>
  <c r="AA70" i="14"/>
  <c r="AA73" i="14"/>
  <c r="Z74" i="14"/>
  <c r="Z82" i="14"/>
  <c r="AC66" i="6" l="1"/>
  <c r="AC69" i="6"/>
  <c r="AD73" i="6"/>
  <c r="AC65" i="6"/>
  <c r="AF89" i="6"/>
  <c r="AG89" i="6" s="1"/>
  <c r="AC90" i="6"/>
  <c r="AD91" i="6"/>
  <c r="AE91" i="6" s="1"/>
  <c r="AF91" i="6" s="1"/>
  <c r="AE93" i="6"/>
  <c r="AF93" i="6" s="1"/>
  <c r="AG93" i="6" s="1"/>
  <c r="AD92" i="6"/>
  <c r="AC75" i="6"/>
  <c r="AD76" i="6"/>
  <c r="AE67" i="6"/>
  <c r="AD74" i="6"/>
  <c r="AE74" i="6" s="1"/>
  <c r="AF78" i="6"/>
  <c r="AG78" i="6" s="1"/>
  <c r="AD84" i="6"/>
  <c r="AF67" i="6"/>
  <c r="AE71" i="6"/>
  <c r="AF71" i="6" s="1"/>
  <c r="AG71" i="6" s="1"/>
  <c r="AC82" i="6"/>
  <c r="AD85" i="6"/>
  <c r="AC68" i="6"/>
  <c r="AC70" i="6"/>
  <c r="AD72" i="6"/>
  <c r="AD77" i="6"/>
  <c r="AC79" i="6"/>
  <c r="AD80" i="6"/>
  <c r="AB81" i="6"/>
  <c r="AB83" i="6"/>
  <c r="AB86" i="6"/>
  <c r="AC87" i="6"/>
  <c r="AC88" i="6"/>
  <c r="AD81" i="11"/>
  <c r="AE81" i="11" s="1"/>
  <c r="AF81" i="11" s="1"/>
  <c r="AD79" i="11"/>
  <c r="AC59" i="11"/>
  <c r="AD59" i="11"/>
  <c r="AE59" i="11" s="1"/>
  <c r="AD80" i="11"/>
  <c r="AD88" i="11"/>
  <c r="AE88" i="11" s="1"/>
  <c r="AF88" i="11" s="1"/>
  <c r="AC85" i="11"/>
  <c r="AD85" i="11" s="1"/>
  <c r="AC63" i="11"/>
  <c r="AC75" i="11"/>
  <c r="AC66" i="11"/>
  <c r="AB62" i="11"/>
  <c r="AD75" i="11"/>
  <c r="AB76" i="11"/>
  <c r="AD77" i="11"/>
  <c r="AC65" i="11"/>
  <c r="AD65" i="11" s="1"/>
  <c r="AD87" i="11"/>
  <c r="AD61" i="11"/>
  <c r="AE61" i="11" s="1"/>
  <c r="AF61" i="11" s="1"/>
  <c r="AD63" i="11"/>
  <c r="AB64" i="11"/>
  <c r="AD66" i="11"/>
  <c r="AB67" i="11"/>
  <c r="AC67" i="11" s="1"/>
  <c r="AD71" i="11"/>
  <c r="AC72" i="11"/>
  <c r="AD72" i="11" s="1"/>
  <c r="AC83" i="11"/>
  <c r="AD84" i="11"/>
  <c r="AE84" i="11" s="1"/>
  <c r="AF84" i="11" s="1"/>
  <c r="AD60" i="11"/>
  <c r="AE68" i="11"/>
  <c r="AF68" i="11" s="1"/>
  <c r="AC73" i="11"/>
  <c r="AD73" i="11" s="1"/>
  <c r="AE73" i="11" s="1"/>
  <c r="AF73" i="11" s="1"/>
  <c r="AD74" i="11"/>
  <c r="AA75" i="14"/>
  <c r="AA15" i="14"/>
  <c r="AB13" i="14"/>
  <c r="AE20" i="14"/>
  <c r="AF20" i="14" s="1"/>
  <c r="AD11" i="14"/>
  <c r="AF11" i="14" s="1"/>
  <c r="AE11" i="14"/>
  <c r="AD18" i="14"/>
  <c r="AE18" i="14" s="1"/>
  <c r="AF18" i="14" s="1"/>
  <c r="AD12" i="14"/>
  <c r="AD16" i="14"/>
  <c r="AC17" i="14"/>
  <c r="AB81" i="14"/>
  <c r="AC19" i="14"/>
  <c r="AC82" i="14"/>
  <c r="AB70" i="14"/>
  <c r="AE70" i="14"/>
  <c r="AC69" i="14"/>
  <c r="AA71" i="14"/>
  <c r="AA81" i="14"/>
  <c r="AA82" i="14"/>
  <c r="Y67" i="14"/>
  <c r="Z78" i="14"/>
  <c r="AC80" i="14"/>
  <c r="Y66" i="14"/>
  <c r="AA68" i="14"/>
  <c r="Y77" i="14"/>
  <c r="Z81" i="14"/>
  <c r="Z76" i="14"/>
  <c r="AB68" i="14"/>
  <c r="Z72" i="14"/>
  <c r="Y65" i="14"/>
  <c r="AC73" i="14"/>
  <c r="AB79" i="14"/>
  <c r="AA79" i="14"/>
  <c r="Z77" i="14"/>
  <c r="AB74" i="14"/>
  <c r="AD66" i="6" l="1"/>
  <c r="AD69" i="6"/>
  <c r="AE73" i="6"/>
  <c r="AF73" i="6" s="1"/>
  <c r="AG73" i="6" s="1"/>
  <c r="AE76" i="6"/>
  <c r="AF76" i="6" s="1"/>
  <c r="AG76" i="6" s="1"/>
  <c r="AD65" i="6"/>
  <c r="AD90" i="6"/>
  <c r="AG91" i="6"/>
  <c r="AE90" i="6"/>
  <c r="AE92" i="6"/>
  <c r="AD75" i="6"/>
  <c r="AF74" i="6"/>
  <c r="AG74" i="6" s="1"/>
  <c r="AD70" i="6"/>
  <c r="AE77" i="6"/>
  <c r="AD79" i="6"/>
  <c r="AC86" i="6"/>
  <c r="AE84" i="6"/>
  <c r="AG67" i="6"/>
  <c r="AD82" i="6"/>
  <c r="AE82" i="6" s="1"/>
  <c r="AF82" i="6" s="1"/>
  <c r="AE85" i="6"/>
  <c r="AF85" i="6" s="1"/>
  <c r="AD68" i="6"/>
  <c r="AE68" i="6"/>
  <c r="AF68" i="6" s="1"/>
  <c r="AE72" i="6"/>
  <c r="AE80" i="6"/>
  <c r="AF80" i="6" s="1"/>
  <c r="AG80" i="6" s="1"/>
  <c r="AC81" i="6"/>
  <c r="AD81" i="6" s="1"/>
  <c r="AC83" i="6"/>
  <c r="AD87" i="6"/>
  <c r="AD88" i="6"/>
  <c r="AE79" i="11"/>
  <c r="AF79" i="11" s="1"/>
  <c r="AE85" i="11"/>
  <c r="AF85" i="11"/>
  <c r="AF59" i="11"/>
  <c r="AE80" i="11"/>
  <c r="AF80" i="11" s="1"/>
  <c r="AC62" i="11"/>
  <c r="AE62" i="11" s="1"/>
  <c r="AC76" i="11"/>
  <c r="AD76" i="11"/>
  <c r="AE72" i="11"/>
  <c r="AF72" i="11"/>
  <c r="AE65" i="11"/>
  <c r="AF65" i="11" s="1"/>
  <c r="AC64" i="11"/>
  <c r="AE66" i="11"/>
  <c r="AF66" i="11" s="1"/>
  <c r="AD62" i="11"/>
  <c r="AF62" i="11" s="1"/>
  <c r="AE75" i="11"/>
  <c r="AF75" i="11" s="1"/>
  <c r="AE77" i="11"/>
  <c r="AF77" i="11" s="1"/>
  <c r="AE87" i="11"/>
  <c r="AF87" i="11"/>
  <c r="AE63" i="11"/>
  <c r="AF63" i="11" s="1"/>
  <c r="AD67" i="11"/>
  <c r="AE67" i="11" s="1"/>
  <c r="AF67" i="11" s="1"/>
  <c r="AE71" i="11"/>
  <c r="AF71" i="11" s="1"/>
  <c r="AD83" i="11"/>
  <c r="AE60" i="11"/>
  <c r="AF60" i="11" s="1"/>
  <c r="AE74" i="11"/>
  <c r="AF74" i="11" s="1"/>
  <c r="AB75" i="14"/>
  <c r="AB15" i="14"/>
  <c r="AC13" i="14"/>
  <c r="AE12" i="14"/>
  <c r="AF12" i="14" s="1"/>
  <c r="AD74" i="14"/>
  <c r="AE16" i="14"/>
  <c r="AF16" i="14"/>
  <c r="AD17" i="14"/>
  <c r="AD19" i="14"/>
  <c r="AE69" i="14"/>
  <c r="AD70" i="14"/>
  <c r="AF70" i="14"/>
  <c r="AF69" i="14"/>
  <c r="AD69" i="14"/>
  <c r="AD73" i="14"/>
  <c r="AB71" i="14"/>
  <c r="AC81" i="14"/>
  <c r="AB82" i="14"/>
  <c r="AD80" i="14"/>
  <c r="Z67" i="14"/>
  <c r="AA78" i="14"/>
  <c r="Z66" i="14"/>
  <c r="AC79" i="14"/>
  <c r="AA77" i="14"/>
  <c r="AC74" i="14"/>
  <c r="AA76" i="14"/>
  <c r="AB76" i="14"/>
  <c r="AA72" i="14"/>
  <c r="Z65" i="14"/>
  <c r="AC68" i="14"/>
  <c r="AE66" i="6" l="1"/>
  <c r="AE69" i="6"/>
  <c r="AE65" i="6"/>
  <c r="AF90" i="6"/>
  <c r="AG90" i="6" s="1"/>
  <c r="AF92" i="6"/>
  <c r="AG92" i="6" s="1"/>
  <c r="AE75" i="6"/>
  <c r="AE70" i="6"/>
  <c r="AF77" i="6"/>
  <c r="AG77" i="6" s="1"/>
  <c r="AD86" i="6"/>
  <c r="AG82" i="6"/>
  <c r="AG85" i="6"/>
  <c r="AE81" i="6"/>
  <c r="AE79" i="6"/>
  <c r="AF84" i="6"/>
  <c r="AF66" i="6"/>
  <c r="AF72" i="6"/>
  <c r="AD83" i="6"/>
  <c r="AE83" i="6" s="1"/>
  <c r="AE87" i="6"/>
  <c r="AE88" i="6"/>
  <c r="AF88" i="6" s="1"/>
  <c r="AG68" i="6"/>
  <c r="AE76" i="11"/>
  <c r="AF76" i="11" s="1"/>
  <c r="AD64" i="11"/>
  <c r="AE64" i="11" s="1"/>
  <c r="AF64" i="11" s="1"/>
  <c r="AE83" i="11"/>
  <c r="AF83" i="11" s="1"/>
  <c r="AC15" i="14"/>
  <c r="AC75" i="14"/>
  <c r="AD13" i="14"/>
  <c r="AD75" i="14" s="1"/>
  <c r="AE13" i="14"/>
  <c r="AE17" i="14"/>
  <c r="AE79" i="14" s="1"/>
  <c r="AD79" i="14"/>
  <c r="AF17" i="14"/>
  <c r="AF79" i="14" s="1"/>
  <c r="AE19" i="14"/>
  <c r="AF19" i="14"/>
  <c r="AE74" i="14"/>
  <c r="AF74" i="14"/>
  <c r="AE73" i="14"/>
  <c r="AF73" i="14"/>
  <c r="AC71" i="14"/>
  <c r="AD81" i="14"/>
  <c r="AD82" i="14"/>
  <c r="AE80" i="14"/>
  <c r="AF80" i="14"/>
  <c r="AA66" i="14"/>
  <c r="AB78" i="14"/>
  <c r="AC76" i="14"/>
  <c r="AB72" i="14"/>
  <c r="AA65" i="14"/>
  <c r="AB77" i="14"/>
  <c r="AA67" i="14"/>
  <c r="AB66" i="14"/>
  <c r="AD68" i="14"/>
  <c r="AF69" i="6" l="1"/>
  <c r="AG66" i="6"/>
  <c r="AF65" i="6"/>
  <c r="AF75" i="6"/>
  <c r="AF70" i="6"/>
  <c r="AE86" i="6"/>
  <c r="AF86" i="6" s="1"/>
  <c r="AF81" i="6"/>
  <c r="AF83" i="6"/>
  <c r="AG88" i="6"/>
  <c r="AF79" i="6"/>
  <c r="AG79" i="6" s="1"/>
  <c r="AG84" i="6"/>
  <c r="AG72" i="6"/>
  <c r="AF87" i="6"/>
  <c r="AD15" i="14"/>
  <c r="AE15" i="14"/>
  <c r="AF15" i="14" s="1"/>
  <c r="AF13" i="14"/>
  <c r="AF75" i="14" s="1"/>
  <c r="AE75" i="14"/>
  <c r="AD71" i="14"/>
  <c r="AE81" i="14"/>
  <c r="AF81" i="14"/>
  <c r="AF82" i="14"/>
  <c r="AE82" i="14"/>
  <c r="AF71" i="14"/>
  <c r="AE71" i="14"/>
  <c r="AC77" i="14"/>
  <c r="AC72" i="14"/>
  <c r="AF72" i="14"/>
  <c r="AD77" i="14"/>
  <c r="AB67" i="14"/>
  <c r="AC78" i="14"/>
  <c r="AC66" i="14"/>
  <c r="AD76" i="14"/>
  <c r="AE76" i="14"/>
  <c r="AF76" i="14"/>
  <c r="AD72" i="14"/>
  <c r="AE72" i="14"/>
  <c r="AB65" i="14"/>
  <c r="AD65" i="14"/>
  <c r="AE68" i="14"/>
  <c r="AF68" i="14"/>
  <c r="AG65" i="6" l="1"/>
  <c r="AG69" i="6"/>
  <c r="AG75" i="6"/>
  <c r="AG70" i="6"/>
  <c r="AG81" i="6"/>
  <c r="AG83" i="6"/>
  <c r="AG86" i="6"/>
  <c r="AG87" i="6"/>
  <c r="AE77" i="14"/>
  <c r="AF77" i="14"/>
  <c r="AD66" i="14"/>
  <c r="AF66" i="14"/>
  <c r="AE66" i="14"/>
  <c r="AC67" i="14"/>
  <c r="AD78" i="14"/>
  <c r="AC65" i="14"/>
  <c r="AF78" i="14" l="1"/>
  <c r="AE78" i="14"/>
  <c r="AD67" i="14"/>
  <c r="AE65" i="14"/>
  <c r="AF65" i="14"/>
  <c r="AE67" i="14" l="1"/>
  <c r="AF67" i="14"/>
</calcChain>
</file>

<file path=xl/sharedStrings.xml><?xml version="1.0" encoding="utf-8"?>
<sst xmlns="http://schemas.openxmlformats.org/spreadsheetml/2006/main" count="1726" uniqueCount="95">
  <si>
    <t>Estonia</t>
  </si>
  <si>
    <t>Latvia</t>
  </si>
  <si>
    <t>Lithuania</t>
  </si>
  <si>
    <t>Author: Hans Gevers - Junior Research Fellow at the Estonian Business School</t>
  </si>
  <si>
    <t>https://orcid.org/0009-0001-0249-4142 hans.gevers@ebs.ee</t>
  </si>
  <si>
    <t>Sheet</t>
  </si>
  <si>
    <t>Conventions:</t>
  </si>
  <si>
    <t>Blue</t>
  </si>
  <si>
    <t>Black</t>
  </si>
  <si>
    <t>Hard-coded numbers</t>
  </si>
  <si>
    <t>Formulas/calculations</t>
  </si>
  <si>
    <t>males</t>
  </si>
  <si>
    <t>none</t>
  </si>
  <si>
    <t>females</t>
  </si>
  <si>
    <t>some or severe</t>
  </si>
  <si>
    <t>45-54</t>
  </si>
  <si>
    <t>55-64</t>
  </si>
  <si>
    <t>65-74</t>
  </si>
  <si>
    <t>75-84</t>
  </si>
  <si>
    <t>85+</t>
  </si>
  <si>
    <t>Age group</t>
  </si>
  <si>
    <t>Gender</t>
  </si>
  <si>
    <t>Disability</t>
  </si>
  <si>
    <t>Country</t>
  </si>
  <si>
    <t>CALCULATION SHEETS</t>
  </si>
  <si>
    <t>Population in Numbers per Age and Gender Group 2008-2025 (annual)</t>
  </si>
  <si>
    <t>Percentage of Disabled per Age and Gender group 2008-2025 (annual)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</si>
  <si>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</si>
  <si>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</si>
  <si>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</si>
  <si>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</si>
  <si>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</si>
  <si>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</si>
  <si>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</si>
  <si>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</si>
  <si>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Red</t>
  </si>
  <si>
    <t>Green</t>
  </si>
  <si>
    <t>Code</t>
  </si>
  <si>
    <t>Description</t>
  </si>
  <si>
    <t>Note</t>
  </si>
  <si>
    <t>Dark red</t>
  </si>
  <si>
    <t>Interpolated within</t>
  </si>
  <si>
    <t>Interpolated across</t>
  </si>
  <si>
    <t>Cross-sectionl average of the preceding and subsequent value (first available)</t>
  </si>
  <si>
    <t>Time average of the preceding and subsequent value (first available)</t>
  </si>
  <si>
    <t>Countries:</t>
  </si>
  <si>
    <t>Estonia, Latvia, Lithuania</t>
  </si>
  <si>
    <t>Open in Data Browser</t>
  </si>
  <si>
    <t>25-54</t>
  </si>
  <si>
    <t>Mean Equivalised Income as Purchasing Power Standard per Age and Gender Group 2008-2025 (annual)</t>
  </si>
  <si>
    <t>60+</t>
  </si>
  <si>
    <t>The overlapbetween the categories 55-64 and 60+ is due to limited data availability, and, subsequently, tolerated.</t>
  </si>
  <si>
    <t>FORECAST SHEETS</t>
  </si>
  <si>
    <t>EXCEL SHEETS</t>
  </si>
  <si>
    <t>Orange</t>
  </si>
  <si>
    <t>Forecast 5 year ahead</t>
  </si>
  <si>
    <t>Percentage difference between forecast and recorded value (correcting observed with given %)</t>
  </si>
  <si>
    <t>Forecasted percentage growth rate of Income</t>
  </si>
  <si>
    <t>-</t>
  </si>
  <si>
    <t>Linked to other sheet</t>
  </si>
  <si>
    <t>Linked to online content</t>
  </si>
  <si>
    <t>Gender: Male (base)</t>
  </si>
  <si>
    <t>Gender: Female</t>
  </si>
  <si>
    <t>Limited: No (base)</t>
  </si>
  <si>
    <t>Limited: Yes</t>
  </si>
  <si>
    <t>Income</t>
  </si>
  <si>
    <t>Age</t>
  </si>
  <si>
    <t>Age: Less than 55 years old (base)</t>
  </si>
  <si>
    <t>Age: Between 55 and 64 years old</t>
  </si>
  <si>
    <t>Age: Between 65 and 74 years old</t>
  </si>
  <si>
    <t>Age: Between 75 and 84 years old</t>
  </si>
  <si>
    <t>Age: Older than 85 years</t>
  </si>
  <si>
    <t>Age: Older than 64 years</t>
  </si>
  <si>
    <t>Constant</t>
  </si>
  <si>
    <t>Sheet 7: Check if the percentage totals 100 for disability within age, gender, and country</t>
  </si>
  <si>
    <t>Sheet 6: Population check: Total for Estonia</t>
  </si>
  <si>
    <t>citizens older than 45</t>
  </si>
  <si>
    <t>of total population as the used sample older than 45</t>
  </si>
  <si>
    <t>estimated citizens older than 45 in 2036</t>
  </si>
  <si>
    <t>increase in population estimated to be older than 45 in 2036</t>
  </si>
  <si>
    <t>Population in Numbers on January 1 per Age and Gender Group 2008-2025 (annual)</t>
  </si>
  <si>
    <t>Population per Age, Gender, and Disability Group + Forecast 2026 to 2036</t>
  </si>
  <si>
    <t>Coefficients from Poisson regressions</t>
  </si>
  <si>
    <t>(1)</t>
  </si>
  <si>
    <t>(2)</t>
  </si>
  <si>
    <t>DisabilityPoisson</t>
  </si>
  <si>
    <t>IncomePoisson</t>
  </si>
  <si>
    <t>Country: Estonia (base)</t>
  </si>
  <si>
    <t>Country: Lithuania</t>
  </si>
  <si>
    <t>Country: Latvia</t>
  </si>
  <si>
    <t>Mean income from SHARE sample per age, gender, disability, and country group</t>
  </si>
  <si>
    <t>Input data from Poisson regressions + Mean income from SHARE sample per age, gender, disability, and country group</t>
  </si>
  <si>
    <t>Forecast amount for disability benefits and pensions in euros for the Population: per Age, Gender, and Disability Group</t>
  </si>
  <si>
    <t>Forecast amount for disability benefits and pensions in euros for the Population: per Age, Gender, and Disability Group (annual)</t>
  </si>
  <si>
    <t>supporting paper "Financial Sustainability of the Care for the Disabled: A Simulation of Benefits for Older People in the Baltic States up to 2036 with data from SHARE and Eurostat"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</si>
</sst>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_ [$€-813]\ * #,##0.00_ ;_ [$€-813]\ * \-#,##0.00_ ;_ [$€-813]\ * &quot;-&quot;??_ ;_ @_ "/>
    <numFmt numFmtId="176" formatCode="0.000000000000"/>
  </numFmts>
  <fonts count="25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C00000"/>
      <name val="Aptos Narrow"/>
      <family val="2"/>
      <scheme val="minor"/>
    </font>
    <font>
      <i/>
      <sz val="11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1"/>
      <color indexed="8"/>
      <name val="Aptos Narrow"/>
      <family val="2"/>
      <scheme val="minor"/>
    </font>
    <font>
      <i/>
      <sz val="9"/>
      <name val="Arial"/>
      <family val="2"/>
    </font>
    <font>
      <sz val="16"/>
      <color theme="0"/>
      <name val="Aptos Narrow"/>
      <family val="2"/>
      <scheme val="minor"/>
    </font>
    <font>
      <sz val="48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9"/>
      <color rgb="FFFF0000"/>
      <name val="Arial"/>
      <family val="2"/>
    </font>
    <font>
      <sz val="11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i/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0"/>
      <name val="Calibri"/>
      <family val="2"/>
    </font>
    <font>
      <sz val="10"/>
      <color indexed="8"/>
      <name val="Calibri"/>
      <family val="2"/>
    </font>
    <font>
      <i/>
      <sz val="10"/>
      <name val="Calibri"/>
      <family val="2"/>
    </font>
    <font>
      <i/>
      <sz val="10"/>
      <color indexed="8"/>
      <name val="Calibri"/>
      <family val="2"/>
    </font>
    <font>
      <b/>
      <i/>
      <sz val="10"/>
      <name val="Calibri"/>
      <family val="2"/>
    </font>
    <font>
      <b/>
      <i/>
      <sz val="10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9" fillId="0" borderId="0"/>
    <xf numFmtId="9" fontId="7" fillId="0" borderId="0" applyFont="0" applyFill="0" applyBorder="0" applyAlignment="0" applyProtection="0"/>
  </cellStyleXfs>
  <cellXfs count="92">
    <xf numFmtId="0" fontId="0" fillId="0" borderId="0" xfId="0"/>
    <xf numFmtId="164" fontId="3" fillId="0" borderId="0" xfId="1" applyNumberFormat="1" applyFont="1"/>
    <xf numFmtId="0" fontId="6" fillId="0" borderId="0" xfId="0" applyFont="1"/>
    <xf numFmtId="0" fontId="6" fillId="0" borderId="1" xfId="0" applyFont="1" applyBorder="1"/>
    <xf numFmtId="0" fontId="0" fillId="0" borderId="4" xfId="0" applyBorder="1"/>
    <xf numFmtId="43" fontId="3" fillId="0" borderId="0" xfId="1" applyFont="1"/>
    <xf numFmtId="0" fontId="9" fillId="0" borderId="1" xfId="0" applyFont="1" applyBorder="1"/>
    <xf numFmtId="0" fontId="6" fillId="0" borderId="3" xfId="0" applyFont="1" applyBorder="1"/>
    <xf numFmtId="0" fontId="6" fillId="0" borderId="4" xfId="0" applyFont="1" applyBorder="1"/>
    <xf numFmtId="0" fontId="6" fillId="0" borderId="5" xfId="0" applyFont="1" applyBorder="1"/>
    <xf numFmtId="0" fontId="10" fillId="0" borderId="0" xfId="0" applyFont="1" applyAlignment="1">
      <alignment horizontal="left" vertical="center"/>
    </xf>
    <xf numFmtId="0" fontId="6" fillId="0" borderId="2" xfId="0" applyFont="1" applyBorder="1"/>
    <xf numFmtId="0" fontId="0" fillId="2" borderId="0" xfId="0" applyFill="1"/>
    <xf numFmtId="0" fontId="8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9" fillId="0" borderId="0" xfId="0" applyFont="1"/>
    <xf numFmtId="0" fontId="0" fillId="0" borderId="0" xfId="0" applyAlignment="1">
      <alignment horizontal="center"/>
    </xf>
    <xf numFmtId="43" fontId="0" fillId="0" borderId="0" xfId="0" applyNumberFormat="1"/>
    <xf numFmtId="164" fontId="4" fillId="0" borderId="0" xfId="1" applyNumberFormat="1" applyFont="1"/>
    <xf numFmtId="0" fontId="2" fillId="0" borderId="0" xfId="0" applyFont="1"/>
    <xf numFmtId="0" fontId="14" fillId="0" borderId="0" xfId="0" applyFont="1" applyAlignment="1">
      <alignment horizontal="left" vertical="center"/>
    </xf>
    <xf numFmtId="0" fontId="15" fillId="0" borderId="0" xfId="0" applyFont="1"/>
    <xf numFmtId="165" fontId="3" fillId="0" borderId="0" xfId="1" applyNumberFormat="1" applyFont="1"/>
    <xf numFmtId="0" fontId="6" fillId="2" borderId="0" xfId="0" applyFont="1" applyFill="1"/>
    <xf numFmtId="0" fontId="16" fillId="2" borderId="0" xfId="0" applyFont="1" applyFill="1"/>
    <xf numFmtId="0" fontId="17" fillId="2" borderId="1" xfId="0" applyFont="1" applyFill="1" applyBorder="1"/>
    <xf numFmtId="0" fontId="3" fillId="3" borderId="0" xfId="0" applyFont="1" applyFill="1"/>
    <xf numFmtId="0" fontId="0" fillId="3" borderId="0" xfId="0" applyFill="1"/>
    <xf numFmtId="0" fontId="4" fillId="3" borderId="0" xfId="0" applyFont="1" applyFill="1"/>
    <xf numFmtId="0" fontId="5" fillId="3" borderId="0" xfId="0" applyFont="1" applyFill="1"/>
    <xf numFmtId="0" fontId="2" fillId="3" borderId="0" xfId="0" applyFont="1" applyFill="1"/>
    <xf numFmtId="0" fontId="12" fillId="2" borderId="0" xfId="0" applyFont="1" applyFill="1" applyAlignment="1">
      <alignment horizontal="left"/>
    </xf>
    <xf numFmtId="165" fontId="7" fillId="0" borderId="0" xfId="1" applyNumberFormat="1" applyFont="1"/>
    <xf numFmtId="0" fontId="18" fillId="3" borderId="0" xfId="0" applyFont="1" applyFill="1"/>
    <xf numFmtId="164" fontId="3" fillId="0" borderId="0" xfId="1" applyNumberFormat="1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/>
    <xf numFmtId="43" fontId="3" fillId="0" borderId="0" xfId="1" applyFont="1" applyAlignment="1">
      <alignment horizontal="center"/>
    </xf>
    <xf numFmtId="2" fontId="0" fillId="0" borderId="0" xfId="0" applyNumberFormat="1" applyAlignment="1">
      <alignment horizontal="center"/>
    </xf>
    <xf numFmtId="165" fontId="15" fillId="0" borderId="0" xfId="1" applyNumberFormat="1" applyFont="1"/>
    <xf numFmtId="164" fontId="15" fillId="0" borderId="0" xfId="1" applyNumberFormat="1" applyFont="1"/>
    <xf numFmtId="164" fontId="15" fillId="0" borderId="0" xfId="1" applyNumberFormat="1" applyFont="1" applyAlignment="1">
      <alignment wrapText="1"/>
    </xf>
    <xf numFmtId="0" fontId="15" fillId="0" borderId="0" xfId="0" applyFont="1" applyAlignment="1">
      <alignment wrapText="1"/>
    </xf>
    <xf numFmtId="2" fontId="15" fillId="0" borderId="0" xfId="1" applyNumberFormat="1" applyFont="1" applyAlignment="1">
      <alignment horizontal="center"/>
    </xf>
    <xf numFmtId="0" fontId="18" fillId="0" borderId="0" xfId="0" applyFont="1"/>
    <xf numFmtId="43" fontId="18" fillId="0" borderId="0" xfId="0" applyNumberFormat="1" applyFont="1"/>
    <xf numFmtId="164" fontId="0" fillId="0" borderId="0" xfId="0" applyNumberFormat="1"/>
    <xf numFmtId="10" fontId="0" fillId="0" borderId="0" xfId="3" applyNumberFormat="1" applyFont="1"/>
    <xf numFmtId="164" fontId="18" fillId="0" borderId="0" xfId="0" applyNumberFormat="1" applyFont="1"/>
    <xf numFmtId="43" fontId="15" fillId="0" borderId="0" xfId="0" applyNumberFormat="1" applyFont="1"/>
    <xf numFmtId="164" fontId="0" fillId="0" borderId="0" xfId="1" applyNumberFormat="1" applyFont="1"/>
    <xf numFmtId="43" fontId="15" fillId="0" borderId="0" xfId="1" applyFont="1"/>
    <xf numFmtId="0" fontId="6" fillId="0" borderId="7" xfId="0" applyFont="1" applyBorder="1"/>
    <xf numFmtId="0" fontId="21" fillId="0" borderId="0" xfId="2" applyFont="1" applyBorder="1"/>
    <xf numFmtId="0" fontId="21" fillId="0" borderId="0" xfId="2" applyFont="1" applyBorder="1" applyAlignment="1">
      <alignment horizontal="center"/>
    </xf>
    <xf numFmtId="2" fontId="19" fillId="0" borderId="0" xfId="1" applyNumberFormat="1" applyFont="1" applyBorder="1" applyAlignment="1">
      <alignment horizontal="center"/>
    </xf>
    <xf numFmtId="0" fontId="19" fillId="0" borderId="0" xfId="1" applyNumberFormat="1" applyFont="1" applyBorder="1" applyAlignment="1">
      <alignment horizontal="center"/>
    </xf>
    <xf numFmtId="4" fontId="19" fillId="0" borderId="0" xfId="1" applyNumberFormat="1" applyFont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 applyAlignment="1">
      <alignment horizontal="left" vertical="center"/>
    </xf>
    <xf numFmtId="0" fontId="22" fillId="0" borderId="0" xfId="0" applyFont="1" applyBorder="1"/>
    <xf numFmtId="165" fontId="20" fillId="0" borderId="0" xfId="0" applyNumberFormat="1" applyFont="1" applyBorder="1" applyAlignment="1">
      <alignment horizontal="right" vertical="center" wrapText="1"/>
    </xf>
    <xf numFmtId="0" fontId="21" fillId="0" borderId="0" xfId="2" applyFont="1" applyBorder="1" applyAlignment="1"/>
    <xf numFmtId="176" fontId="19" fillId="0" borderId="0" xfId="1" applyNumberFormat="1" applyFont="1" applyBorder="1" applyAlignment="1">
      <alignment horizontal="center"/>
    </xf>
    <xf numFmtId="176" fontId="19" fillId="0" borderId="0" xfId="2" applyNumberFormat="1" applyFont="1" applyBorder="1" applyAlignment="1">
      <alignment horizontal="center"/>
    </xf>
    <xf numFmtId="0" fontId="19" fillId="0" borderId="0" xfId="2" applyFont="1" applyBorder="1"/>
    <xf numFmtId="0" fontId="19" fillId="0" borderId="0" xfId="2" applyFont="1" applyBorder="1" applyAlignment="1">
      <alignment horizontal="center"/>
    </xf>
    <xf numFmtId="176" fontId="20" fillId="0" borderId="0" xfId="0" applyNumberFormat="1" applyFont="1" applyBorder="1" applyAlignment="1">
      <alignment horizontal="center"/>
    </xf>
    <xf numFmtId="4" fontId="19" fillId="0" borderId="0" xfId="2" applyNumberFormat="1" applyFont="1" applyBorder="1" applyAlignment="1">
      <alignment horizontal="center"/>
    </xf>
    <xf numFmtId="0" fontId="22" fillId="0" borderId="7" xfId="0" applyFont="1" applyBorder="1"/>
    <xf numFmtId="0" fontId="19" fillId="0" borderId="7" xfId="2" applyFont="1" applyBorder="1"/>
    <xf numFmtId="0" fontId="0" fillId="0" borderId="0" xfId="0" applyBorder="1"/>
    <xf numFmtId="0" fontId="10" fillId="0" borderId="0" xfId="0" applyFont="1" applyBorder="1" applyAlignment="1">
      <alignment horizontal="left" vertical="center"/>
    </xf>
    <xf numFmtId="43" fontId="18" fillId="0" borderId="0" xfId="1" applyFont="1" applyBorder="1"/>
    <xf numFmtId="0" fontId="0" fillId="0" borderId="7" xfId="0" applyBorder="1"/>
    <xf numFmtId="0" fontId="23" fillId="0" borderId="0" xfId="2" applyFont="1" applyFill="1" applyBorder="1"/>
    <xf numFmtId="0" fontId="19" fillId="0" borderId="0" xfId="2" applyFont="1" applyFill="1" applyBorder="1" applyAlignment="1">
      <alignment horizontal="center"/>
    </xf>
    <xf numFmtId="0" fontId="19" fillId="0" borderId="0" xfId="2" applyFont="1" applyFill="1" applyBorder="1"/>
    <xf numFmtId="0" fontId="24" fillId="0" borderId="0" xfId="0" applyFont="1" applyFill="1" applyBorder="1"/>
    <xf numFmtId="0" fontId="20" fillId="0" borderId="0" xfId="0" applyFont="1" applyFill="1" applyBorder="1" applyAlignment="1">
      <alignment horizontal="center"/>
    </xf>
    <xf numFmtId="165" fontId="20" fillId="0" borderId="0" xfId="0" applyNumberFormat="1" applyFont="1" applyFill="1" applyBorder="1" applyAlignment="1">
      <alignment horizontal="right" vertical="center" wrapText="1"/>
    </xf>
    <xf numFmtId="0" fontId="9" fillId="0" borderId="0" xfId="0" applyFont="1" applyFill="1" applyBorder="1"/>
    <xf numFmtId="0" fontId="6" fillId="0" borderId="0" xfId="0" applyFont="1" applyFill="1" applyBorder="1"/>
    <xf numFmtId="0" fontId="0" fillId="0" borderId="0" xfId="0" applyFill="1" applyBorder="1"/>
    <xf numFmtId="0" fontId="9" fillId="0" borderId="0" xfId="0" applyFont="1" applyFill="1"/>
    <xf numFmtId="0" fontId="6" fillId="0" borderId="0" xfId="0" applyFont="1" applyFill="1"/>
    <xf numFmtId="0" fontId="6" fillId="0" borderId="2" xfId="0" applyFont="1" applyFill="1" applyBorder="1"/>
    <xf numFmtId="0" fontId="9" fillId="0" borderId="0" xfId="0" applyFont="1" applyFill="1" applyAlignment="1">
      <alignment horizontal="left" wrapText="1"/>
    </xf>
    <xf numFmtId="0" fontId="9" fillId="0" borderId="2" xfId="0" applyFont="1" applyFill="1" applyBorder="1" applyAlignment="1">
      <alignment horizontal="left" wrapText="1"/>
    </xf>
    <xf numFmtId="0" fontId="9" fillId="0" borderId="6" xfId="0" applyFont="1" applyFill="1" applyBorder="1" applyAlignment="1">
      <alignment horizontal="left" wrapText="1"/>
    </xf>
    <xf numFmtId="0" fontId="9" fillId="0" borderId="3" xfId="0" applyFont="1" applyFill="1" applyBorder="1" applyAlignment="1">
      <alignment horizontal="left" wrapText="1"/>
    </xf>
  </cellXfs>
  <cellStyles count="4">
    <cellStyle name="Comma" xfId="1" builtinId="3"/>
    <cellStyle name="Normal" xfId="0" builtinId="0"/>
    <cellStyle name="Normal 2" xfId="2" xr:uid="{0FE8B7A0-F428-46B2-AF9C-FF659110E417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view/hlth_silc_12__custom_22442227/default/table" TargetMode="External"/><Relationship Id="rId2" Type="http://schemas.openxmlformats.org/officeDocument/2006/relationships/hyperlink" Target="https://ec.europa.eu/eurostat/databrowser/view/demo_pjangroup__custom_22447420/default/table" TargetMode="External"/><Relationship Id="rId1" Type="http://schemas.openxmlformats.org/officeDocument/2006/relationships/hyperlink" Target="https://ec.europa.eu/eurostat/databrowser/view/ilc_di03__custom_22442273/default/ta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FE40-0CC4-4D8D-AE56-64394EE58ED5}">
  <sheetPr>
    <tabColor theme="1"/>
  </sheetPr>
  <dimension ref="B2:D16"/>
  <sheetViews>
    <sheetView showGridLines="0" tabSelected="1" workbookViewId="0">
      <selection activeCell="T1" sqref="T1"/>
    </sheetView>
  </sheetViews>
  <sheetFormatPr defaultRowHeight="15" x14ac:dyDescent="0.25"/>
  <cols>
    <col min="1" max="1" width="9.140625" style="12"/>
    <col min="2" max="2" width="32.85546875" style="12" customWidth="1"/>
    <col min="3" max="3" width="9.140625" style="12"/>
    <col min="4" max="4" width="71.7109375" style="12" customWidth="1"/>
    <col min="5" max="16384" width="9.140625" style="12"/>
  </cols>
  <sheetData>
    <row r="2" spans="2:4" ht="63.75" x14ac:dyDescent="1">
      <c r="B2" s="32" t="s">
        <v>53</v>
      </c>
    </row>
    <row r="3" spans="2:4" ht="21" x14ac:dyDescent="0.35">
      <c r="B3" s="14" t="s">
        <v>94</v>
      </c>
    </row>
    <row r="4" spans="2:4" x14ac:dyDescent="0.25">
      <c r="B4" s="13"/>
      <c r="D4" s="13"/>
    </row>
    <row r="5" spans="2:4" x14ac:dyDescent="0.25">
      <c r="B5" s="13" t="s">
        <v>3</v>
      </c>
      <c r="D5" s="13"/>
    </row>
    <row r="6" spans="2:4" x14ac:dyDescent="0.25">
      <c r="B6" s="13" t="s">
        <v>4</v>
      </c>
      <c r="D6" s="13"/>
    </row>
    <row r="7" spans="2:4" x14ac:dyDescent="0.25">
      <c r="B7" s="13"/>
      <c r="D7" s="13"/>
    </row>
    <row r="8" spans="2:4" x14ac:dyDescent="0.25">
      <c r="B8" s="13"/>
      <c r="D8" s="13"/>
    </row>
    <row r="9" spans="2:4" s="24" customFormat="1" x14ac:dyDescent="0.25">
      <c r="B9" s="25" t="s">
        <v>6</v>
      </c>
      <c r="C9" s="12"/>
      <c r="D9" s="13"/>
    </row>
    <row r="10" spans="2:4" x14ac:dyDescent="0.25">
      <c r="B10" s="26" t="s">
        <v>38</v>
      </c>
      <c r="C10" s="26" t="s">
        <v>37</v>
      </c>
      <c r="D10" s="26" t="s">
        <v>39</v>
      </c>
    </row>
    <row r="11" spans="2:4" x14ac:dyDescent="0.25">
      <c r="B11" s="13" t="s">
        <v>9</v>
      </c>
      <c r="C11" s="27" t="s">
        <v>7</v>
      </c>
      <c r="D11" s="13"/>
    </row>
    <row r="12" spans="2:4" x14ac:dyDescent="0.25">
      <c r="B12" s="13" t="s">
        <v>10</v>
      </c>
      <c r="C12" s="28" t="s">
        <v>8</v>
      </c>
      <c r="D12" s="13"/>
    </row>
    <row r="13" spans="2:4" x14ac:dyDescent="0.25">
      <c r="B13" s="13" t="s">
        <v>41</v>
      </c>
      <c r="C13" s="29" t="s">
        <v>36</v>
      </c>
      <c r="D13" s="13" t="s">
        <v>44</v>
      </c>
    </row>
    <row r="14" spans="2:4" x14ac:dyDescent="0.25">
      <c r="B14" s="13" t="s">
        <v>42</v>
      </c>
      <c r="C14" s="30" t="s">
        <v>40</v>
      </c>
      <c r="D14" s="13" t="s">
        <v>43</v>
      </c>
    </row>
    <row r="15" spans="2:4" x14ac:dyDescent="0.25">
      <c r="B15" s="13" t="s">
        <v>60</v>
      </c>
      <c r="C15" s="31" t="s">
        <v>35</v>
      </c>
      <c r="D15" s="13"/>
    </row>
    <row r="16" spans="2:4" x14ac:dyDescent="0.25">
      <c r="B16" s="13" t="s">
        <v>59</v>
      </c>
      <c r="C16" s="34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93F0-DBED-4412-8E00-EA77E847B7D6}">
  <sheetPr>
    <tabColor rgb="FF00B0F0"/>
  </sheetPr>
  <dimension ref="B2:D9"/>
  <sheetViews>
    <sheetView showGridLines="0" workbookViewId="0">
      <selection activeCell="AB1" sqref="AB1"/>
    </sheetView>
  </sheetViews>
  <sheetFormatPr defaultRowHeight="15" x14ac:dyDescent="0.25"/>
  <cols>
    <col min="2" max="2" width="9.140625" style="17"/>
    <col min="3" max="3" width="23.7109375" style="20" customWidth="1"/>
  </cols>
  <sheetData>
    <row r="2" spans="2:4" x14ac:dyDescent="0.25">
      <c r="B2" s="17" t="s">
        <v>45</v>
      </c>
      <c r="C2" s="22" t="s">
        <v>46</v>
      </c>
    </row>
    <row r="4" spans="2:4" x14ac:dyDescent="0.25">
      <c r="B4" s="17" t="s">
        <v>5</v>
      </c>
    </row>
    <row r="5" spans="2:4" x14ac:dyDescent="0.25">
      <c r="B5" s="17">
        <v>5</v>
      </c>
      <c r="C5" s="21" t="s">
        <v>47</v>
      </c>
      <c r="D5" t="s">
        <v>80</v>
      </c>
    </row>
    <row r="6" spans="2:4" x14ac:dyDescent="0.25">
      <c r="B6" s="17">
        <v>6</v>
      </c>
      <c r="C6" s="21" t="s">
        <v>47</v>
      </c>
      <c r="D6" t="s">
        <v>26</v>
      </c>
    </row>
    <row r="7" spans="2:4" x14ac:dyDescent="0.25">
      <c r="B7" s="17">
        <v>7</v>
      </c>
      <c r="C7" s="21" t="s">
        <v>47</v>
      </c>
      <c r="D7" t="s">
        <v>49</v>
      </c>
    </row>
    <row r="8" spans="2:4" x14ac:dyDescent="0.25">
      <c r="B8" s="17">
        <v>9</v>
      </c>
      <c r="D8" t="s">
        <v>91</v>
      </c>
    </row>
    <row r="9" spans="2:4" x14ac:dyDescent="0.25">
      <c r="B9" s="17">
        <v>10</v>
      </c>
      <c r="D9" t="s">
        <v>93</v>
      </c>
    </row>
  </sheetData>
  <hyperlinks>
    <hyperlink ref="C7" r:id="rId1" xr:uid="{3B80E550-D577-4C15-80BC-BDFC3BA93029}"/>
    <hyperlink ref="C5" r:id="rId2" xr:uid="{00000000-0004-0000-0000-000001000000}"/>
    <hyperlink ref="C6" r:id="rId3" xr:uid="{B634CABD-934D-4117-869B-42BD73BB1EF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B62D1-97EF-49A6-BDCC-56F96B588020}">
  <sheetPr>
    <tabColor rgb="FFFFC000"/>
  </sheetPr>
  <dimension ref="A1:S170"/>
  <sheetViews>
    <sheetView workbookViewId="0">
      <selection activeCell="AC1" sqref="AC1"/>
    </sheetView>
  </sheetViews>
  <sheetFormatPr defaultRowHeight="15" x14ac:dyDescent="0.25"/>
  <cols>
    <col min="1" max="1" width="9.140625" customWidth="1"/>
  </cols>
  <sheetData>
    <row r="1" spans="1:19" x14ac:dyDescent="0.25">
      <c r="A1" s="2" t="s">
        <v>75</v>
      </c>
    </row>
    <row r="2" spans="1:19" x14ac:dyDescent="0.25">
      <c r="B2" s="49">
        <f>SUM(Population!U3,Population!U6,Population!U9,Population!U12,Population!U15,Population!U18,Population!U21,Population!U24,Population!U27,Population!U30,Population!U33,Population!U36,Population!U39,Population!U42,Population!U45,Population!U48,Population!U51,Population!U54)</f>
        <v>643995</v>
      </c>
      <c r="C2" s="50" t="s">
        <v>76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1:19" x14ac:dyDescent="0.25">
      <c r="B3" s="48">
        <f>B2/1300000</f>
        <v>0.49538076923076924</v>
      </c>
      <c r="C3" s="50" t="s">
        <v>77</v>
      </c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spans="1:19" x14ac:dyDescent="0.25">
      <c r="B4" s="49">
        <f>SUM(Population!AF59,Population!AF62,Population!AF65,Population!AF68,Population!AF71,Population!AF74,Population!AF77,Population!AF80,Population!AF83,Population!AF86)</f>
        <v>679090</v>
      </c>
      <c r="C4" t="s">
        <v>78</v>
      </c>
    </row>
    <row r="5" spans="1:19" x14ac:dyDescent="0.25">
      <c r="B5" s="48">
        <f>B4/B2-1</f>
        <v>5.4495764718670126E-2</v>
      </c>
      <c r="C5" s="50" t="s">
        <v>79</v>
      </c>
    </row>
    <row r="6" spans="1:19" x14ac:dyDescent="0.25">
      <c r="B6" s="18"/>
    </row>
    <row r="7" spans="1:19" x14ac:dyDescent="0.25">
      <c r="A7" s="2" t="s">
        <v>74</v>
      </c>
    </row>
    <row r="8" spans="1:19" x14ac:dyDescent="0.25">
      <c r="B8" s="3">
        <v>2008</v>
      </c>
      <c r="C8" s="3">
        <v>2009</v>
      </c>
      <c r="D8" s="3">
        <v>2010</v>
      </c>
      <c r="E8" s="3">
        <v>2011</v>
      </c>
      <c r="F8" s="3">
        <v>2012</v>
      </c>
      <c r="G8" s="3">
        <v>2013</v>
      </c>
      <c r="H8" s="3">
        <v>2014</v>
      </c>
      <c r="I8" s="3">
        <v>2015</v>
      </c>
      <c r="J8" s="3">
        <v>2016</v>
      </c>
      <c r="K8" s="3">
        <v>2017</v>
      </c>
      <c r="L8" s="3">
        <v>2018</v>
      </c>
      <c r="M8" s="3">
        <v>2019</v>
      </c>
      <c r="N8" s="3">
        <v>2020</v>
      </c>
      <c r="O8" s="3">
        <v>2021</v>
      </c>
      <c r="P8" s="3">
        <v>2022</v>
      </c>
      <c r="Q8" s="3">
        <v>2023</v>
      </c>
      <c r="R8" s="3">
        <v>2024</v>
      </c>
      <c r="S8" s="3">
        <v>2025</v>
      </c>
    </row>
    <row r="9" spans="1:19" x14ac:dyDescent="0.25">
      <c r="B9" s="45" t="str">
        <f>IF((Disability!E3+Disability!E6)=100,"ok","nok")</f>
        <v>ok</v>
      </c>
      <c r="C9" s="45" t="str">
        <f>IF((Disability!F3+Disability!F6)=100,"ok","nok")</f>
        <v>ok</v>
      </c>
      <c r="D9" s="45" t="str">
        <f>IF((Disability!G3+Disability!G6)=100,"ok","nok")</f>
        <v>ok</v>
      </c>
      <c r="E9" s="45" t="str">
        <f>IF((Disability!H3+Disability!H6)=100,"ok","nok")</f>
        <v>ok</v>
      </c>
      <c r="F9" s="45" t="str">
        <f>IF((Disability!I3+Disability!I6)=100,"ok","nok")</f>
        <v>ok</v>
      </c>
      <c r="G9" s="45" t="str">
        <f>IF((Disability!J3+Disability!J6)=100,"ok","nok")</f>
        <v>ok</v>
      </c>
      <c r="H9" s="45" t="str">
        <f>IF((Disability!K3+Disability!K6)=100,"ok","nok")</f>
        <v>ok</v>
      </c>
      <c r="I9" s="45" t="str">
        <f>IF((Disability!L3+Disability!L6)=100,"ok","nok")</f>
        <v>ok</v>
      </c>
      <c r="J9" s="45" t="str">
        <f>IF((Disability!M3+Disability!M6)=100,"ok","nok")</f>
        <v>ok</v>
      </c>
      <c r="K9" s="45" t="str">
        <f>IF((Disability!N3+Disability!N6)=100,"ok","nok")</f>
        <v>ok</v>
      </c>
      <c r="L9" s="45" t="str">
        <f>IF((Disability!O3+Disability!O6)=100,"ok","nok")</f>
        <v>ok</v>
      </c>
      <c r="M9" s="45" t="str">
        <f>IF((Disability!P3+Disability!P6)=100,"ok","nok")</f>
        <v>ok</v>
      </c>
      <c r="N9" s="45" t="str">
        <f>IF((Disability!Q3+Disability!Q6)=100,"ok","nok")</f>
        <v>ok</v>
      </c>
      <c r="O9" s="45" t="str">
        <f>IF((Disability!R3+Disability!R6)=100,"ok","nok")</f>
        <v>ok</v>
      </c>
      <c r="P9" s="45" t="str">
        <f>IF((Disability!S3+Disability!S6)=100,"ok","nok")</f>
        <v>ok</v>
      </c>
      <c r="Q9" s="45" t="str">
        <f>IF((Disability!T3+Disability!T6)=100,"ok","nok")</f>
        <v>ok</v>
      </c>
      <c r="R9" s="45" t="str">
        <f>IF((Disability!U3+Disability!U6)=100,"ok","nok")</f>
        <v>ok</v>
      </c>
      <c r="S9" s="45" t="str">
        <f>IF((Disability!V3+Disability!V6)=100,"ok","nok")</f>
        <v>ok</v>
      </c>
    </row>
    <row r="10" spans="1:19" x14ac:dyDescent="0.25">
      <c r="B10" s="45" t="str">
        <f>IF((Disability!E4+Disability!E7)=100,"ok","nok")</f>
        <v>ok</v>
      </c>
      <c r="C10" s="45" t="str">
        <f>IF((Disability!F4+Disability!F7)=100,"ok","nok")</f>
        <v>ok</v>
      </c>
      <c r="D10" s="45" t="str">
        <f>IF((Disability!G4+Disability!G7)=100,"ok","nok")</f>
        <v>ok</v>
      </c>
      <c r="E10" s="45" t="str">
        <f>IF((Disability!H4+Disability!H7)=100,"ok","nok")</f>
        <v>ok</v>
      </c>
      <c r="F10" s="45" t="str">
        <f>IF((Disability!I4+Disability!I7)=100,"ok","nok")</f>
        <v>ok</v>
      </c>
      <c r="G10" s="45" t="str">
        <f>IF((Disability!J4+Disability!J7)=100,"ok","nok")</f>
        <v>ok</v>
      </c>
      <c r="H10" s="45" t="str">
        <f>IF((Disability!K4+Disability!K7)=100,"ok","nok")</f>
        <v>ok</v>
      </c>
      <c r="I10" s="45" t="str">
        <f>IF((Disability!L4+Disability!L7)=100,"ok","nok")</f>
        <v>ok</v>
      </c>
      <c r="J10" s="45" t="str">
        <f>IF((Disability!M4+Disability!M7)=100,"ok","nok")</f>
        <v>ok</v>
      </c>
      <c r="K10" s="45" t="str">
        <f>IF((Disability!N4+Disability!N7)=100,"ok","nok")</f>
        <v>ok</v>
      </c>
      <c r="L10" s="45" t="str">
        <f>IF((Disability!O4+Disability!O7)=100,"ok","nok")</f>
        <v>ok</v>
      </c>
      <c r="M10" s="45" t="str">
        <f>IF((Disability!P4+Disability!P7)=100,"ok","nok")</f>
        <v>ok</v>
      </c>
      <c r="N10" s="45" t="str">
        <f>IF((Disability!Q4+Disability!Q7)=100,"ok","nok")</f>
        <v>ok</v>
      </c>
      <c r="O10" s="45" t="str">
        <f>IF((Disability!R4+Disability!R7)=100,"ok","nok")</f>
        <v>ok</v>
      </c>
      <c r="P10" s="45" t="str">
        <f>IF((Disability!S4+Disability!S7)=100,"ok","nok")</f>
        <v>ok</v>
      </c>
      <c r="Q10" s="45" t="str">
        <f>IF((Disability!T4+Disability!T7)=100,"ok","nok")</f>
        <v>ok</v>
      </c>
      <c r="R10" s="45" t="str">
        <f>IF((Disability!U4+Disability!U7)=100,"ok","nok")</f>
        <v>ok</v>
      </c>
      <c r="S10" s="45" t="str">
        <f>IF((Disability!V4+Disability!V7)=100,"ok","nok")</f>
        <v>ok</v>
      </c>
    </row>
    <row r="11" spans="1:19" x14ac:dyDescent="0.25">
      <c r="B11" s="45" t="str">
        <f>IF((Disability!E5+Disability!E8)=100,"ok","nok")</f>
        <v>ok</v>
      </c>
      <c r="C11" s="45" t="str">
        <f>IF((Disability!F5+Disability!F8)=100,"ok","nok")</f>
        <v>ok</v>
      </c>
      <c r="D11" s="45" t="str">
        <f>IF((Disability!G5+Disability!G8)=100,"ok","nok")</f>
        <v>ok</v>
      </c>
      <c r="E11" s="45" t="str">
        <f>IF((Disability!H5+Disability!H8)=100,"ok","nok")</f>
        <v>ok</v>
      </c>
      <c r="F11" s="45" t="str">
        <f>IF((Disability!I5+Disability!I8)=100,"ok","nok")</f>
        <v>ok</v>
      </c>
      <c r="G11" s="45" t="str">
        <f>IF((Disability!J5+Disability!J8)=100,"ok","nok")</f>
        <v>ok</v>
      </c>
      <c r="H11" s="45" t="str">
        <f>IF((Disability!K5+Disability!K8)=100,"ok","nok")</f>
        <v>ok</v>
      </c>
      <c r="I11" s="45" t="str">
        <f>IF((Disability!L5+Disability!L8)=100,"ok","nok")</f>
        <v>ok</v>
      </c>
      <c r="J11" s="45" t="str">
        <f>IF((Disability!M5+Disability!M8)=100,"ok","nok")</f>
        <v>ok</v>
      </c>
      <c r="K11" s="45" t="str">
        <f>IF((Disability!N5+Disability!N8)=100,"ok","nok")</f>
        <v>ok</v>
      </c>
      <c r="L11" s="45" t="str">
        <f>IF((Disability!O5+Disability!O8)=100,"ok","nok")</f>
        <v>ok</v>
      </c>
      <c r="M11" s="45" t="str">
        <f>IF((Disability!P5+Disability!P8)=100,"ok","nok")</f>
        <v>ok</v>
      </c>
      <c r="N11" s="45" t="str">
        <f>IF((Disability!Q5+Disability!Q8)=100,"ok","nok")</f>
        <v>ok</v>
      </c>
      <c r="O11" s="45" t="str">
        <f>IF((Disability!R5+Disability!R8)=100,"ok","nok")</f>
        <v>ok</v>
      </c>
      <c r="P11" s="45" t="str">
        <f>IF((Disability!S5+Disability!S8)=100,"ok","nok")</f>
        <v>ok</v>
      </c>
      <c r="Q11" s="45" t="str">
        <f>IF((Disability!T5+Disability!T8)=100,"ok","nok")</f>
        <v>ok</v>
      </c>
      <c r="R11" s="45" t="str">
        <f>IF((Disability!U5+Disability!U8)=100,"ok","nok")</f>
        <v>ok</v>
      </c>
      <c r="S11" s="45" t="str">
        <f>IF((Disability!V5+Disability!V8)=100,"ok","nok")</f>
        <v>ok</v>
      </c>
    </row>
    <row r="12" spans="1:19" x14ac:dyDescent="0.25">
      <c r="B12" s="45" t="str">
        <f>IF((Disability!E9+Disability!E12)=100,"ok","nok")</f>
        <v>ok</v>
      </c>
      <c r="C12" s="45" t="str">
        <f>IF((Disability!F9+Disability!F12)=100,"ok","nok")</f>
        <v>ok</v>
      </c>
      <c r="D12" s="45" t="str">
        <f>IF((Disability!G9+Disability!G12)=100,"ok","nok")</f>
        <v>ok</v>
      </c>
      <c r="E12" s="45" t="str">
        <f>IF((Disability!H9+Disability!H12)=100,"ok","nok")</f>
        <v>ok</v>
      </c>
      <c r="F12" s="45" t="str">
        <f>IF((Disability!I9+Disability!I12)=100,"ok","nok")</f>
        <v>ok</v>
      </c>
      <c r="G12" s="45" t="str">
        <f>IF((Disability!J9+Disability!J12)=100,"ok","nok")</f>
        <v>ok</v>
      </c>
      <c r="H12" s="45" t="str">
        <f>IF((Disability!K9+Disability!K12)=100,"ok","nok")</f>
        <v>ok</v>
      </c>
      <c r="I12" s="45" t="str">
        <f>IF((Disability!L9+Disability!L12)=100,"ok","nok")</f>
        <v>ok</v>
      </c>
      <c r="J12" s="45" t="str">
        <f>IF((Disability!M9+Disability!M12)=100,"ok","nok")</f>
        <v>ok</v>
      </c>
      <c r="K12" s="45" t="str">
        <f>IF((Disability!N9+Disability!N12)=100,"ok","nok")</f>
        <v>ok</v>
      </c>
      <c r="L12" s="45" t="str">
        <f>IF((Disability!O9+Disability!O12)=100,"ok","nok")</f>
        <v>ok</v>
      </c>
      <c r="M12" s="45" t="str">
        <f>IF((Disability!P9+Disability!P12)=100,"ok","nok")</f>
        <v>ok</v>
      </c>
      <c r="N12" s="45" t="str">
        <f>IF((Disability!Q9+Disability!Q12)=100,"ok","nok")</f>
        <v>ok</v>
      </c>
      <c r="O12" s="45" t="str">
        <f>IF((Disability!R9+Disability!R12)=100,"ok","nok")</f>
        <v>ok</v>
      </c>
      <c r="P12" s="45" t="str">
        <f>IF((Disability!S9+Disability!S12)=100,"ok","nok")</f>
        <v>ok</v>
      </c>
      <c r="Q12" s="45" t="str">
        <f>IF((Disability!T9+Disability!T12)=100,"ok","nok")</f>
        <v>ok</v>
      </c>
      <c r="R12" s="45" t="str">
        <f>IF((Disability!U9+Disability!U12)=100,"ok","nok")</f>
        <v>ok</v>
      </c>
      <c r="S12" s="45" t="str">
        <f>IF((Disability!V9+Disability!V12)=100,"ok","nok")</f>
        <v>ok</v>
      </c>
    </row>
    <row r="13" spans="1:19" x14ac:dyDescent="0.25">
      <c r="B13" s="45" t="str">
        <f>IF((Disability!E10+Disability!E13)=100,"ok","nok")</f>
        <v>ok</v>
      </c>
      <c r="C13" s="45" t="str">
        <f>IF((Disability!F10+Disability!F13)=100,"ok","nok")</f>
        <v>ok</v>
      </c>
      <c r="D13" s="45" t="str">
        <f>IF((Disability!G10+Disability!G13)=100,"ok","nok")</f>
        <v>ok</v>
      </c>
      <c r="E13" s="45" t="str">
        <f>IF((Disability!H10+Disability!H13)=100,"ok","nok")</f>
        <v>ok</v>
      </c>
      <c r="F13" s="45" t="str">
        <f>IF((Disability!I10+Disability!I13)=100,"ok","nok")</f>
        <v>ok</v>
      </c>
      <c r="G13" s="45" t="str">
        <f>IF((Disability!J10+Disability!J13)=100,"ok","nok")</f>
        <v>ok</v>
      </c>
      <c r="H13" s="45" t="str">
        <f>IF((Disability!K10+Disability!K13)=100,"ok","nok")</f>
        <v>ok</v>
      </c>
      <c r="I13" s="45" t="str">
        <f>IF((Disability!L10+Disability!L13)=100,"ok","nok")</f>
        <v>ok</v>
      </c>
      <c r="J13" s="45" t="str">
        <f>IF((Disability!M10+Disability!M13)=100,"ok","nok")</f>
        <v>ok</v>
      </c>
      <c r="K13" s="45" t="str">
        <f>IF((Disability!N10+Disability!N13)=100,"ok","nok")</f>
        <v>ok</v>
      </c>
      <c r="L13" s="45" t="str">
        <f>IF((Disability!O10+Disability!O13)=100,"ok","nok")</f>
        <v>ok</v>
      </c>
      <c r="M13" s="45" t="str">
        <f>IF((Disability!P10+Disability!P13)=100,"ok","nok")</f>
        <v>ok</v>
      </c>
      <c r="N13" s="45" t="str">
        <f>IF((Disability!Q10+Disability!Q13)=100,"ok","nok")</f>
        <v>ok</v>
      </c>
      <c r="O13" s="45" t="str">
        <f>IF((Disability!R10+Disability!R13)=100,"ok","nok")</f>
        <v>ok</v>
      </c>
      <c r="P13" s="45" t="str">
        <f>IF((Disability!S10+Disability!S13)=100,"ok","nok")</f>
        <v>ok</v>
      </c>
      <c r="Q13" s="45" t="str">
        <f>IF((Disability!T10+Disability!T13)=100,"ok","nok")</f>
        <v>ok</v>
      </c>
      <c r="R13" s="45" t="str">
        <f>IF((Disability!U10+Disability!U13)=100,"ok","nok")</f>
        <v>ok</v>
      </c>
      <c r="S13" s="45" t="str">
        <f>IF((Disability!V10+Disability!V13)=100,"ok","nok")</f>
        <v>ok</v>
      </c>
    </row>
    <row r="14" spans="1:19" x14ac:dyDescent="0.25">
      <c r="B14" s="45" t="str">
        <f>IF((Disability!E11+Disability!E14)=100,"ok","nok")</f>
        <v>ok</v>
      </c>
      <c r="C14" s="45" t="str">
        <f>IF((Disability!F11+Disability!F14)=100,"ok","nok")</f>
        <v>ok</v>
      </c>
      <c r="D14" s="45" t="str">
        <f>IF((Disability!G11+Disability!G14)=100,"ok","nok")</f>
        <v>ok</v>
      </c>
      <c r="E14" s="45" t="str">
        <f>IF((Disability!H11+Disability!H14)=100,"ok","nok")</f>
        <v>ok</v>
      </c>
      <c r="F14" s="45" t="str">
        <f>IF((Disability!I11+Disability!I14)=100,"ok","nok")</f>
        <v>ok</v>
      </c>
      <c r="G14" s="45" t="str">
        <f>IF((Disability!J11+Disability!J14)=100,"ok","nok")</f>
        <v>ok</v>
      </c>
      <c r="H14" s="45" t="str">
        <f>IF((Disability!K11+Disability!K14)=100,"ok","nok")</f>
        <v>ok</v>
      </c>
      <c r="I14" s="45" t="str">
        <f>IF((Disability!L11+Disability!L14)=100,"ok","nok")</f>
        <v>ok</v>
      </c>
      <c r="J14" s="45" t="str">
        <f>IF((Disability!M11+Disability!M14)=100,"ok","nok")</f>
        <v>ok</v>
      </c>
      <c r="K14" s="45" t="str">
        <f>IF((Disability!N11+Disability!N14)=100,"ok","nok")</f>
        <v>ok</v>
      </c>
      <c r="L14" s="45" t="str">
        <f>IF((Disability!O11+Disability!O14)=100,"ok","nok")</f>
        <v>ok</v>
      </c>
      <c r="M14" s="45" t="str">
        <f>IF((Disability!P11+Disability!P14)=100,"ok","nok")</f>
        <v>ok</v>
      </c>
      <c r="N14" s="45" t="str">
        <f>IF((Disability!Q11+Disability!Q14)=100,"ok","nok")</f>
        <v>ok</v>
      </c>
      <c r="O14" s="45" t="str">
        <f>IF((Disability!R11+Disability!R14)=100,"ok","nok")</f>
        <v>ok</v>
      </c>
      <c r="P14" s="45" t="str">
        <f>IF((Disability!S11+Disability!S14)=100,"ok","nok")</f>
        <v>ok</v>
      </c>
      <c r="Q14" s="45" t="str">
        <f>IF((Disability!T11+Disability!T14)=100,"ok","nok")</f>
        <v>ok</v>
      </c>
      <c r="R14" s="45" t="str">
        <f>IF((Disability!U11+Disability!U14)=100,"ok","nok")</f>
        <v>ok</v>
      </c>
      <c r="S14" s="45" t="str">
        <f>IF((Disability!V11+Disability!V14)=100,"ok","nok")</f>
        <v>ok</v>
      </c>
    </row>
    <row r="15" spans="1:19" x14ac:dyDescent="0.25">
      <c r="B15" s="45" t="str">
        <f>IF((Disability!E15+Disability!E18)=100,"ok","nok")</f>
        <v>ok</v>
      </c>
      <c r="C15" s="45" t="str">
        <f>IF((Disability!F15+Disability!F18)=100,"ok","nok")</f>
        <v>ok</v>
      </c>
      <c r="D15" s="45" t="str">
        <f>IF((Disability!G15+Disability!G18)=100,"ok","nok")</f>
        <v>ok</v>
      </c>
      <c r="E15" s="45" t="str">
        <f>IF((Disability!H15+Disability!H18)=100,"ok","nok")</f>
        <v>ok</v>
      </c>
      <c r="F15" s="45" t="str">
        <f>IF((Disability!I15+Disability!I18)=100,"ok","nok")</f>
        <v>ok</v>
      </c>
      <c r="G15" s="45" t="str">
        <f>IF((Disability!J15+Disability!J18)=100,"ok","nok")</f>
        <v>ok</v>
      </c>
      <c r="H15" s="45" t="str">
        <f>IF((Disability!K15+Disability!K18)=100,"ok","nok")</f>
        <v>ok</v>
      </c>
      <c r="I15" s="45" t="str">
        <f>IF((Disability!L15+Disability!L18)=100,"ok","nok")</f>
        <v>ok</v>
      </c>
      <c r="J15" s="45" t="str">
        <f>IF((Disability!M15+Disability!M18)=100,"ok","nok")</f>
        <v>ok</v>
      </c>
      <c r="K15" s="45" t="str">
        <f>IF((Disability!N15+Disability!N18)=100,"ok","nok")</f>
        <v>ok</v>
      </c>
      <c r="L15" s="45" t="str">
        <f>IF((Disability!O15+Disability!O18)=100,"ok","nok")</f>
        <v>ok</v>
      </c>
      <c r="M15" s="45" t="str">
        <f>IF((Disability!P15+Disability!P18)=100,"ok","nok")</f>
        <v>ok</v>
      </c>
      <c r="N15" s="45" t="str">
        <f>IF((Disability!Q15+Disability!Q18)=100,"ok","nok")</f>
        <v>ok</v>
      </c>
      <c r="O15" s="45" t="str">
        <f>IF((Disability!R15+Disability!R18)=100,"ok","nok")</f>
        <v>ok</v>
      </c>
      <c r="P15" s="45" t="str">
        <f>IF((Disability!S15+Disability!S18)=100,"ok","nok")</f>
        <v>ok</v>
      </c>
      <c r="Q15" s="45" t="str">
        <f>IF((Disability!T15+Disability!T18)=100,"ok","nok")</f>
        <v>ok</v>
      </c>
      <c r="R15" s="45" t="str">
        <f>IF((Disability!U15+Disability!U18)=100,"ok","nok")</f>
        <v>ok</v>
      </c>
      <c r="S15" s="45" t="str">
        <f>IF((Disability!V15+Disability!V18)=100,"ok","nok")</f>
        <v>ok</v>
      </c>
    </row>
    <row r="16" spans="1:19" x14ac:dyDescent="0.25">
      <c r="B16" s="45" t="str">
        <f>IF((Disability!E16+Disability!E19)=100,"ok","nok")</f>
        <v>ok</v>
      </c>
      <c r="C16" s="45" t="str">
        <f>IF((Disability!F16+Disability!F19)=100,"ok","nok")</f>
        <v>ok</v>
      </c>
      <c r="D16" s="45" t="str">
        <f>IF((Disability!G16+Disability!G19)=100,"ok","nok")</f>
        <v>ok</v>
      </c>
      <c r="E16" s="45" t="str">
        <f>IF((Disability!H16+Disability!H19)=100,"ok","nok")</f>
        <v>ok</v>
      </c>
      <c r="F16" s="45" t="str">
        <f>IF((Disability!I16+Disability!I19)=100,"ok","nok")</f>
        <v>ok</v>
      </c>
      <c r="G16" s="45" t="str">
        <f>IF((Disability!J16+Disability!J19)=100,"ok","nok")</f>
        <v>ok</v>
      </c>
      <c r="H16" s="45" t="str">
        <f>IF((Disability!K16+Disability!K19)=100,"ok","nok")</f>
        <v>ok</v>
      </c>
      <c r="I16" s="45" t="str">
        <f>IF((Disability!L16+Disability!L19)=100,"ok","nok")</f>
        <v>ok</v>
      </c>
      <c r="J16" s="45" t="str">
        <f>IF((Disability!M16+Disability!M19)=100,"ok","nok")</f>
        <v>ok</v>
      </c>
      <c r="K16" s="45" t="str">
        <f>IF((Disability!N16+Disability!N19)=100,"ok","nok")</f>
        <v>ok</v>
      </c>
      <c r="L16" s="45" t="str">
        <f>IF((Disability!O16+Disability!O19)=100,"ok","nok")</f>
        <v>ok</v>
      </c>
      <c r="M16" s="45" t="str">
        <f>IF((Disability!P16+Disability!P19)=100,"ok","nok")</f>
        <v>ok</v>
      </c>
      <c r="N16" s="45" t="str">
        <f>IF((Disability!Q16+Disability!Q19)=100,"ok","nok")</f>
        <v>ok</v>
      </c>
      <c r="O16" s="45" t="str">
        <f>IF((Disability!R16+Disability!R19)=100,"ok","nok")</f>
        <v>ok</v>
      </c>
      <c r="P16" s="45" t="str">
        <f>IF((Disability!S16+Disability!S19)=100,"ok","nok")</f>
        <v>ok</v>
      </c>
      <c r="Q16" s="45" t="str">
        <f>IF((Disability!T16+Disability!T19)=100,"ok","nok")</f>
        <v>ok</v>
      </c>
      <c r="R16" s="45" t="str">
        <f>IF((Disability!U16+Disability!U19)=100,"ok","nok")</f>
        <v>ok</v>
      </c>
      <c r="S16" s="45" t="str">
        <f>IF((Disability!V16+Disability!V19)=100,"ok","nok")</f>
        <v>ok</v>
      </c>
    </row>
    <row r="17" spans="2:19" x14ac:dyDescent="0.25">
      <c r="B17" s="45" t="str">
        <f>IF((Disability!E17+Disability!E20)=100,"ok","nok")</f>
        <v>ok</v>
      </c>
      <c r="C17" s="45" t="str">
        <f>IF((Disability!F17+Disability!F20)=100,"ok","nok")</f>
        <v>ok</v>
      </c>
      <c r="D17" s="45" t="str">
        <f>IF((Disability!G17+Disability!G20)=100,"ok","nok")</f>
        <v>ok</v>
      </c>
      <c r="E17" s="45" t="str">
        <f>IF((Disability!H17+Disability!H20)=100,"ok","nok")</f>
        <v>ok</v>
      </c>
      <c r="F17" s="45" t="str">
        <f>IF((Disability!I17+Disability!I20)=100,"ok","nok")</f>
        <v>ok</v>
      </c>
      <c r="G17" s="45" t="str">
        <f>IF((Disability!J17+Disability!J20)=100,"ok","nok")</f>
        <v>ok</v>
      </c>
      <c r="H17" s="45" t="str">
        <f>IF((Disability!K17+Disability!K20)=100,"ok","nok")</f>
        <v>ok</v>
      </c>
      <c r="I17" s="45" t="str">
        <f>IF((Disability!L17+Disability!L20)=100,"ok","nok")</f>
        <v>ok</v>
      </c>
      <c r="J17" s="45" t="str">
        <f>IF((Disability!M17+Disability!M20)=100,"ok","nok")</f>
        <v>ok</v>
      </c>
      <c r="K17" s="45" t="str">
        <f>IF((Disability!N17+Disability!N20)=100,"ok","nok")</f>
        <v>ok</v>
      </c>
      <c r="L17" s="45" t="str">
        <f>IF((Disability!O17+Disability!O20)=100,"ok","nok")</f>
        <v>ok</v>
      </c>
      <c r="M17" s="45" t="str">
        <f>IF((Disability!P17+Disability!P20)=100,"ok","nok")</f>
        <v>ok</v>
      </c>
      <c r="N17" s="45" t="str">
        <f>IF((Disability!Q17+Disability!Q20)=100,"ok","nok")</f>
        <v>ok</v>
      </c>
      <c r="O17" s="45" t="str">
        <f>IF((Disability!R17+Disability!R20)=100,"ok","nok")</f>
        <v>ok</v>
      </c>
      <c r="P17" s="45" t="str">
        <f>IF((Disability!S17+Disability!S20)=100,"ok","nok")</f>
        <v>ok</v>
      </c>
      <c r="Q17" s="45" t="str">
        <f>IF((Disability!T17+Disability!T20)=100,"ok","nok")</f>
        <v>ok</v>
      </c>
      <c r="R17" s="45" t="str">
        <f>IF((Disability!U17+Disability!U20)=100,"ok","nok")</f>
        <v>ok</v>
      </c>
      <c r="S17" s="45" t="str">
        <f>IF((Disability!V17+Disability!V20)=100,"ok","nok")</f>
        <v>ok</v>
      </c>
    </row>
    <row r="18" spans="2:19" x14ac:dyDescent="0.25">
      <c r="B18" s="45" t="str">
        <f>IF((Disability!E21+Disability!E24)=100,"ok","nok")</f>
        <v>ok</v>
      </c>
      <c r="C18" s="45" t="str">
        <f>IF((Disability!F21+Disability!F24)=100,"ok","nok")</f>
        <v>ok</v>
      </c>
      <c r="D18" s="45" t="str">
        <f>IF((Disability!G21+Disability!G24)=100,"ok","nok")</f>
        <v>ok</v>
      </c>
      <c r="E18" s="45" t="str">
        <f>IF((Disability!H21+Disability!H24)=100,"ok","nok")</f>
        <v>ok</v>
      </c>
      <c r="F18" s="45" t="str">
        <f>IF((Disability!I21+Disability!I24)=100,"ok","nok")</f>
        <v>ok</v>
      </c>
      <c r="G18" s="45" t="str">
        <f>IF((Disability!J21+Disability!J24)=100,"ok","nok")</f>
        <v>ok</v>
      </c>
      <c r="H18" s="45" t="str">
        <f>IF((Disability!K21+Disability!K24)=100,"ok","nok")</f>
        <v>ok</v>
      </c>
      <c r="I18" s="45" t="str">
        <f>IF((Disability!L21+Disability!L24)=100,"ok","nok")</f>
        <v>ok</v>
      </c>
      <c r="J18" s="45" t="str">
        <f>IF((Disability!M21+Disability!M24)=100,"ok","nok")</f>
        <v>ok</v>
      </c>
      <c r="K18" s="45" t="str">
        <f>IF((Disability!N21+Disability!N24)=100,"ok","nok")</f>
        <v>ok</v>
      </c>
      <c r="L18" s="45" t="str">
        <f>IF((Disability!O21+Disability!O24)=100,"ok","nok")</f>
        <v>ok</v>
      </c>
      <c r="M18" s="45" t="str">
        <f>IF((Disability!P21+Disability!P24)=100,"ok","nok")</f>
        <v>ok</v>
      </c>
      <c r="N18" s="45" t="str">
        <f>IF((Disability!Q21+Disability!Q24)=100,"ok","nok")</f>
        <v>ok</v>
      </c>
      <c r="O18" s="45" t="str">
        <f>IF((Disability!R21+Disability!R24)=100,"ok","nok")</f>
        <v>ok</v>
      </c>
      <c r="P18" s="45" t="str">
        <f>IF((Disability!S21+Disability!S24)=100,"ok","nok")</f>
        <v>ok</v>
      </c>
      <c r="Q18" s="45" t="str">
        <f>IF((Disability!T21+Disability!T24)=100,"ok","nok")</f>
        <v>ok</v>
      </c>
      <c r="R18" s="45" t="str">
        <f>IF((Disability!U21+Disability!U24)=100,"ok","nok")</f>
        <v>ok</v>
      </c>
      <c r="S18" s="45" t="str">
        <f>IF((Disability!V21+Disability!V24)=100,"ok","nok")</f>
        <v>ok</v>
      </c>
    </row>
    <row r="19" spans="2:19" x14ac:dyDescent="0.25">
      <c r="B19" s="45" t="str">
        <f>IF((Disability!E22+Disability!E25)=100,"ok","nok")</f>
        <v>ok</v>
      </c>
      <c r="C19" s="45" t="str">
        <f>IF((Disability!F22+Disability!F25)=100,"ok","nok")</f>
        <v>ok</v>
      </c>
      <c r="D19" s="45" t="str">
        <f>IF((Disability!G22+Disability!G25)=100,"ok","nok")</f>
        <v>ok</v>
      </c>
      <c r="E19" s="45" t="str">
        <f>IF((Disability!H22+Disability!H25)=100,"ok","nok")</f>
        <v>ok</v>
      </c>
      <c r="F19" s="45" t="str">
        <f>IF((Disability!I22+Disability!I25)=100,"ok","nok")</f>
        <v>ok</v>
      </c>
      <c r="G19" s="45" t="str">
        <f>IF((Disability!J22+Disability!J25)=100,"ok","nok")</f>
        <v>ok</v>
      </c>
      <c r="H19" s="45" t="str">
        <f>IF((Disability!K22+Disability!K25)=100,"ok","nok")</f>
        <v>ok</v>
      </c>
      <c r="I19" s="45" t="str">
        <f>IF((Disability!L22+Disability!L25)=100,"ok","nok")</f>
        <v>ok</v>
      </c>
      <c r="J19" s="45" t="str">
        <f>IF((Disability!M22+Disability!M25)=100,"ok","nok")</f>
        <v>ok</v>
      </c>
      <c r="K19" s="45" t="str">
        <f>IF((Disability!N22+Disability!N25)=100,"ok","nok")</f>
        <v>ok</v>
      </c>
      <c r="L19" s="45" t="str">
        <f>IF((Disability!O22+Disability!O25)=100,"ok","nok")</f>
        <v>ok</v>
      </c>
      <c r="M19" s="45" t="str">
        <f>IF((Disability!P22+Disability!P25)=100,"ok","nok")</f>
        <v>ok</v>
      </c>
      <c r="N19" s="45" t="str">
        <f>IF((Disability!Q22+Disability!Q25)=100,"ok","nok")</f>
        <v>ok</v>
      </c>
      <c r="O19" s="45" t="str">
        <f>IF((Disability!R22+Disability!R25)=100,"ok","nok")</f>
        <v>ok</v>
      </c>
      <c r="P19" s="45" t="str">
        <f>IF((Disability!S22+Disability!S25)=100,"ok","nok")</f>
        <v>ok</v>
      </c>
      <c r="Q19" s="45" t="str">
        <f>IF((Disability!T22+Disability!T25)=100,"ok","nok")</f>
        <v>ok</v>
      </c>
      <c r="R19" s="45" t="str">
        <f>IF((Disability!U22+Disability!U25)=100,"ok","nok")</f>
        <v>ok</v>
      </c>
      <c r="S19" s="45" t="str">
        <f>IF((Disability!V22+Disability!V25)=100,"ok","nok")</f>
        <v>ok</v>
      </c>
    </row>
    <row r="20" spans="2:19" x14ac:dyDescent="0.25">
      <c r="B20" s="45" t="str">
        <f>IF((Disability!E23+Disability!E26)=100,"ok","nok")</f>
        <v>ok</v>
      </c>
      <c r="C20" s="45" t="str">
        <f>IF((Disability!F23+Disability!F26)=100,"ok","nok")</f>
        <v>ok</v>
      </c>
      <c r="D20" s="45" t="str">
        <f>IF((Disability!G23+Disability!G26)=100,"ok","nok")</f>
        <v>ok</v>
      </c>
      <c r="E20" s="45" t="str">
        <f>IF((Disability!H23+Disability!H26)=100,"ok","nok")</f>
        <v>ok</v>
      </c>
      <c r="F20" s="45" t="str">
        <f>IF((Disability!I23+Disability!I26)=100,"ok","nok")</f>
        <v>ok</v>
      </c>
      <c r="G20" s="45" t="str">
        <f>IF((Disability!J23+Disability!J26)=100,"ok","nok")</f>
        <v>ok</v>
      </c>
      <c r="H20" s="45" t="str">
        <f>IF((Disability!K23+Disability!K26)=100,"ok","nok")</f>
        <v>ok</v>
      </c>
      <c r="I20" s="45" t="str">
        <f>IF((Disability!L23+Disability!L26)=100,"ok","nok")</f>
        <v>ok</v>
      </c>
      <c r="J20" s="45" t="str">
        <f>IF((Disability!M23+Disability!M26)=100,"ok","nok")</f>
        <v>ok</v>
      </c>
      <c r="K20" s="45" t="str">
        <f>IF((Disability!N23+Disability!N26)=100,"ok","nok")</f>
        <v>ok</v>
      </c>
      <c r="L20" s="45" t="str">
        <f>IF((Disability!O23+Disability!O26)=100,"ok","nok")</f>
        <v>ok</v>
      </c>
      <c r="M20" s="45" t="str">
        <f>IF((Disability!P23+Disability!P26)=100,"ok","nok")</f>
        <v>ok</v>
      </c>
      <c r="N20" s="45" t="str">
        <f>IF((Disability!Q23+Disability!Q26)=100,"ok","nok")</f>
        <v>ok</v>
      </c>
      <c r="O20" s="45" t="str">
        <f>IF((Disability!R23+Disability!R26)=100,"ok","nok")</f>
        <v>ok</v>
      </c>
      <c r="P20" s="45" t="str">
        <f>IF((Disability!S23+Disability!S26)=100,"ok","nok")</f>
        <v>ok</v>
      </c>
      <c r="Q20" s="45" t="str">
        <f>IF((Disability!T23+Disability!T26)=100,"ok","nok")</f>
        <v>ok</v>
      </c>
      <c r="R20" s="45" t="str">
        <f>IF((Disability!U23+Disability!U26)=100,"ok","nok")</f>
        <v>ok</v>
      </c>
      <c r="S20" s="45" t="str">
        <f>IF((Disability!V23+Disability!V26)=100,"ok","nok")</f>
        <v>ok</v>
      </c>
    </row>
    <row r="21" spans="2:19" x14ac:dyDescent="0.25">
      <c r="B21" s="45" t="str">
        <f>IF((Disability!E27+Disability!E30)=100,"ok","nok")</f>
        <v>ok</v>
      </c>
      <c r="C21" s="45" t="str">
        <f>IF((Disability!F27+Disability!F30)=100,"ok","nok")</f>
        <v>ok</v>
      </c>
      <c r="D21" s="45" t="str">
        <f>IF((Disability!G27+Disability!G30)=100,"ok","nok")</f>
        <v>ok</v>
      </c>
      <c r="E21" s="45" t="str">
        <f>IF((Disability!H27+Disability!H30)=100,"ok","nok")</f>
        <v>ok</v>
      </c>
      <c r="F21" s="45" t="str">
        <f>IF((Disability!I27+Disability!I30)=100,"ok","nok")</f>
        <v>ok</v>
      </c>
      <c r="G21" s="45" t="str">
        <f>IF((Disability!J27+Disability!J30)=100,"ok","nok")</f>
        <v>ok</v>
      </c>
      <c r="H21" s="45" t="str">
        <f>IF((Disability!K27+Disability!K30)=100,"ok","nok")</f>
        <v>ok</v>
      </c>
      <c r="I21" s="45" t="str">
        <f>IF((Disability!L27+Disability!L30)=100,"ok","nok")</f>
        <v>ok</v>
      </c>
      <c r="J21" s="45" t="str">
        <f>IF((Disability!M27+Disability!M30)=100,"ok","nok")</f>
        <v>ok</v>
      </c>
      <c r="K21" s="45" t="str">
        <f>IF((Disability!N27+Disability!N30)=100,"ok","nok")</f>
        <v>ok</v>
      </c>
      <c r="L21" s="45" t="str">
        <f>IF((Disability!O27+Disability!O30)=100,"ok","nok")</f>
        <v>ok</v>
      </c>
      <c r="M21" s="45" t="str">
        <f>IF((Disability!P27+Disability!P30)=100,"ok","nok")</f>
        <v>ok</v>
      </c>
      <c r="N21" s="45" t="str">
        <f>IF((Disability!Q27+Disability!Q30)=100,"ok","nok")</f>
        <v>ok</v>
      </c>
      <c r="O21" s="45" t="str">
        <f>IF((Disability!R27+Disability!R30)=100,"ok","nok")</f>
        <v>ok</v>
      </c>
      <c r="P21" s="45" t="str">
        <f>IF((Disability!S27+Disability!S30)=100,"ok","nok")</f>
        <v>ok</v>
      </c>
      <c r="Q21" s="45" t="str">
        <f>IF((Disability!T27+Disability!T30)=100,"ok","nok")</f>
        <v>ok</v>
      </c>
      <c r="R21" s="45" t="str">
        <f>IF((Disability!U27+Disability!U30)=100,"ok","nok")</f>
        <v>ok</v>
      </c>
      <c r="S21" s="45" t="str">
        <f>IF((Disability!V27+Disability!V30)=100,"ok","nok")</f>
        <v>ok</v>
      </c>
    </row>
    <row r="22" spans="2:19" x14ac:dyDescent="0.25">
      <c r="B22" s="45" t="str">
        <f>IF((Disability!E28+Disability!E31)=100,"ok","nok")</f>
        <v>ok</v>
      </c>
      <c r="C22" s="45" t="str">
        <f>IF((Disability!F28+Disability!F31)=100,"ok","nok")</f>
        <v>ok</v>
      </c>
      <c r="D22" s="45" t="str">
        <f>IF((Disability!G28+Disability!G31)=100,"ok","nok")</f>
        <v>ok</v>
      </c>
      <c r="E22" s="45" t="str">
        <f>IF((Disability!H28+Disability!H31)=100,"ok","nok")</f>
        <v>ok</v>
      </c>
      <c r="F22" s="45" t="str">
        <f>IF((Disability!I28+Disability!I31)=100,"ok","nok")</f>
        <v>ok</v>
      </c>
      <c r="G22" s="45" t="str">
        <f>IF((Disability!J28+Disability!J31)=100,"ok","nok")</f>
        <v>ok</v>
      </c>
      <c r="H22" s="45" t="str">
        <f>IF((Disability!K28+Disability!K31)=100,"ok","nok")</f>
        <v>ok</v>
      </c>
      <c r="I22" s="45" t="str">
        <f>IF((Disability!L28+Disability!L31)=100,"ok","nok")</f>
        <v>ok</v>
      </c>
      <c r="J22" s="45" t="str">
        <f>IF((Disability!M28+Disability!M31)=100,"ok","nok")</f>
        <v>ok</v>
      </c>
      <c r="K22" s="45" t="str">
        <f>IF((Disability!N28+Disability!N31)=100,"ok","nok")</f>
        <v>ok</v>
      </c>
      <c r="L22" s="45" t="str">
        <f>IF((Disability!O28+Disability!O31)=100,"ok","nok")</f>
        <v>ok</v>
      </c>
      <c r="M22" s="45" t="str">
        <f>IF((Disability!P28+Disability!P31)=100,"ok","nok")</f>
        <v>ok</v>
      </c>
      <c r="N22" s="45" t="str">
        <f>IF((Disability!Q28+Disability!Q31)=100,"ok","nok")</f>
        <v>ok</v>
      </c>
      <c r="O22" s="45" t="str">
        <f>IF((Disability!R28+Disability!R31)=100,"ok","nok")</f>
        <v>ok</v>
      </c>
      <c r="P22" s="45" t="str">
        <f>IF((Disability!S28+Disability!S31)=100,"ok","nok")</f>
        <v>ok</v>
      </c>
      <c r="Q22" s="45" t="str">
        <f>IF((Disability!T28+Disability!T31)=100,"ok","nok")</f>
        <v>ok</v>
      </c>
      <c r="R22" s="45" t="str">
        <f>IF((Disability!U28+Disability!U31)=100,"ok","nok")</f>
        <v>ok</v>
      </c>
      <c r="S22" s="45" t="str">
        <f>IF((Disability!V28+Disability!V31)=100,"ok","nok")</f>
        <v>ok</v>
      </c>
    </row>
    <row r="23" spans="2:19" x14ac:dyDescent="0.25">
      <c r="B23" s="45" t="str">
        <f>IF((Disability!E29+Disability!E32)=100,"ok","nok")</f>
        <v>ok</v>
      </c>
      <c r="C23" s="45" t="str">
        <f>IF((Disability!F29+Disability!F32)=100,"ok","nok")</f>
        <v>ok</v>
      </c>
      <c r="D23" s="45" t="str">
        <f>IF((Disability!G29+Disability!G32)=100,"ok","nok")</f>
        <v>ok</v>
      </c>
      <c r="E23" s="45" t="str">
        <f>IF((Disability!H29+Disability!H32)=100,"ok","nok")</f>
        <v>ok</v>
      </c>
      <c r="F23" s="45" t="str">
        <f>IF((Disability!I29+Disability!I32)=100,"ok","nok")</f>
        <v>ok</v>
      </c>
      <c r="G23" s="45" t="str">
        <f>IF((Disability!J29+Disability!J32)=100,"ok","nok")</f>
        <v>ok</v>
      </c>
      <c r="H23" s="45" t="str">
        <f>IF((Disability!K29+Disability!K32)=100,"ok","nok")</f>
        <v>ok</v>
      </c>
      <c r="I23" s="45" t="str">
        <f>IF((Disability!L29+Disability!L32)=100,"ok","nok")</f>
        <v>ok</v>
      </c>
      <c r="J23" s="45" t="str">
        <f>IF((Disability!M29+Disability!M32)=100,"ok","nok")</f>
        <v>ok</v>
      </c>
      <c r="K23" s="45" t="str">
        <f>IF((Disability!N29+Disability!N32)=100,"ok","nok")</f>
        <v>ok</v>
      </c>
      <c r="L23" s="45" t="str">
        <f>IF((Disability!O29+Disability!O32)=100,"ok","nok")</f>
        <v>ok</v>
      </c>
      <c r="M23" s="45" t="str">
        <f>IF((Disability!P29+Disability!P32)=100,"ok","nok")</f>
        <v>ok</v>
      </c>
      <c r="N23" s="45" t="str">
        <f>IF((Disability!Q29+Disability!Q32)=100,"ok","nok")</f>
        <v>ok</v>
      </c>
      <c r="O23" s="45" t="str">
        <f>IF((Disability!R29+Disability!R32)=100,"ok","nok")</f>
        <v>ok</v>
      </c>
      <c r="P23" s="45" t="str">
        <f>IF((Disability!S29+Disability!S32)=100,"ok","nok")</f>
        <v>ok</v>
      </c>
      <c r="Q23" s="45" t="str">
        <f>IF((Disability!T29+Disability!T32)=100,"ok","nok")</f>
        <v>ok</v>
      </c>
      <c r="R23" s="45" t="str">
        <f>IF((Disability!U29+Disability!U32)=100,"ok","nok")</f>
        <v>ok</v>
      </c>
      <c r="S23" s="45" t="str">
        <f>IF((Disability!V29+Disability!V32)=100,"ok","nok")</f>
        <v>ok</v>
      </c>
    </row>
    <row r="24" spans="2:19" x14ac:dyDescent="0.25">
      <c r="B24" s="45" t="str">
        <f>IF((Disability!E33+Disability!E36)=100,"ok","nok")</f>
        <v>ok</v>
      </c>
      <c r="C24" s="45" t="str">
        <f>IF((Disability!F33+Disability!F36)=100,"ok","nok")</f>
        <v>ok</v>
      </c>
      <c r="D24" s="45" t="str">
        <f>IF((Disability!G33+Disability!G36)=100,"ok","nok")</f>
        <v>ok</v>
      </c>
      <c r="E24" s="45" t="str">
        <f>IF((Disability!H33+Disability!H36)=100,"ok","nok")</f>
        <v>ok</v>
      </c>
      <c r="F24" s="45" t="str">
        <f>IF((Disability!I33+Disability!I36)=100,"ok","nok")</f>
        <v>ok</v>
      </c>
      <c r="G24" s="45" t="str">
        <f>IF((Disability!J33+Disability!J36)=100,"ok","nok")</f>
        <v>ok</v>
      </c>
      <c r="H24" s="45" t="str">
        <f>IF((Disability!K33+Disability!K36)=100,"ok","nok")</f>
        <v>ok</v>
      </c>
      <c r="I24" s="45" t="str">
        <f>IF((Disability!L33+Disability!L36)=100,"ok","nok")</f>
        <v>ok</v>
      </c>
      <c r="J24" s="45" t="str">
        <f>IF((Disability!M33+Disability!M36)=100,"ok","nok")</f>
        <v>ok</v>
      </c>
      <c r="K24" s="45" t="str">
        <f>IF((Disability!N33+Disability!N36)=100,"ok","nok")</f>
        <v>ok</v>
      </c>
      <c r="L24" s="45" t="str">
        <f>IF((Disability!O33+Disability!O36)=100,"ok","nok")</f>
        <v>ok</v>
      </c>
      <c r="M24" s="45" t="str">
        <f>IF((Disability!P33+Disability!P36)=100,"ok","nok")</f>
        <v>ok</v>
      </c>
      <c r="N24" s="45" t="str">
        <f>IF((Disability!Q33+Disability!Q36)=100,"ok","nok")</f>
        <v>ok</v>
      </c>
      <c r="O24" s="45" t="str">
        <f>IF((Disability!R33+Disability!R36)=100,"ok","nok")</f>
        <v>ok</v>
      </c>
      <c r="P24" s="45" t="str">
        <f>IF((Disability!S33+Disability!S36)=100,"ok","nok")</f>
        <v>ok</v>
      </c>
      <c r="Q24" s="45" t="str">
        <f>IF((Disability!T33+Disability!T36)=100,"ok","nok")</f>
        <v>ok</v>
      </c>
      <c r="R24" s="45" t="str">
        <f>IF((Disability!U33+Disability!U36)=100,"ok","nok")</f>
        <v>ok</v>
      </c>
      <c r="S24" s="45" t="str">
        <f>IF((Disability!V33+Disability!V36)=100,"ok","nok")</f>
        <v>ok</v>
      </c>
    </row>
    <row r="25" spans="2:19" x14ac:dyDescent="0.25">
      <c r="B25" s="45" t="str">
        <f>IF((Disability!E34+Disability!E37)=100,"ok","nok")</f>
        <v>ok</v>
      </c>
      <c r="C25" s="45" t="str">
        <f>IF((Disability!F34+Disability!F37)=100,"ok","nok")</f>
        <v>ok</v>
      </c>
      <c r="D25" s="45" t="str">
        <f>IF((Disability!G34+Disability!G37)=100,"ok","nok")</f>
        <v>ok</v>
      </c>
      <c r="E25" s="45" t="str">
        <f>IF((Disability!H34+Disability!H37)=100,"ok","nok")</f>
        <v>ok</v>
      </c>
      <c r="F25" s="45" t="str">
        <f>IF((Disability!I34+Disability!I37)=100,"ok","nok")</f>
        <v>ok</v>
      </c>
      <c r="G25" s="45" t="str">
        <f>IF((Disability!J34+Disability!J37)=100,"ok","nok")</f>
        <v>ok</v>
      </c>
      <c r="H25" s="45" t="str">
        <f>IF((Disability!K34+Disability!K37)=100,"ok","nok")</f>
        <v>ok</v>
      </c>
      <c r="I25" s="45" t="str">
        <f>IF((Disability!L34+Disability!L37)=100,"ok","nok")</f>
        <v>ok</v>
      </c>
      <c r="J25" s="45" t="str">
        <f>IF((Disability!M34+Disability!M37)=100,"ok","nok")</f>
        <v>ok</v>
      </c>
      <c r="K25" s="45" t="str">
        <f>IF((Disability!N34+Disability!N37)=100,"ok","nok")</f>
        <v>ok</v>
      </c>
      <c r="L25" s="45" t="str">
        <f>IF((Disability!O34+Disability!O37)=100,"ok","nok")</f>
        <v>ok</v>
      </c>
      <c r="M25" s="45" t="str">
        <f>IF((Disability!P34+Disability!P37)=100,"ok","nok")</f>
        <v>ok</v>
      </c>
      <c r="N25" s="45" t="str">
        <f>IF((Disability!Q34+Disability!Q37)=100,"ok","nok")</f>
        <v>ok</v>
      </c>
      <c r="O25" s="45" t="str">
        <f>IF((Disability!R34+Disability!R37)=100,"ok","nok")</f>
        <v>ok</v>
      </c>
      <c r="P25" s="45" t="str">
        <f>IF((Disability!S34+Disability!S37)=100,"ok","nok")</f>
        <v>ok</v>
      </c>
      <c r="Q25" s="45" t="str">
        <f>IF((Disability!T34+Disability!T37)=100,"ok","nok")</f>
        <v>ok</v>
      </c>
      <c r="R25" s="45" t="str">
        <f>IF((Disability!U34+Disability!U37)=100,"ok","nok")</f>
        <v>ok</v>
      </c>
      <c r="S25" s="45" t="str">
        <f>IF((Disability!V34+Disability!V37)=100,"ok","nok")</f>
        <v>ok</v>
      </c>
    </row>
    <row r="26" spans="2:19" x14ac:dyDescent="0.25">
      <c r="B26" s="45" t="str">
        <f>IF((Disability!E35+Disability!E38)=100,"ok","nok")</f>
        <v>ok</v>
      </c>
      <c r="C26" s="45" t="str">
        <f>IF((Disability!F35+Disability!F38)=100,"ok","nok")</f>
        <v>ok</v>
      </c>
      <c r="D26" s="45" t="str">
        <f>IF((Disability!G35+Disability!G38)=100,"ok","nok")</f>
        <v>ok</v>
      </c>
      <c r="E26" s="45" t="str">
        <f>IF((Disability!H35+Disability!H38)=100,"ok","nok")</f>
        <v>ok</v>
      </c>
      <c r="F26" s="45" t="str">
        <f>IF((Disability!I35+Disability!I38)=100,"ok","nok")</f>
        <v>ok</v>
      </c>
      <c r="G26" s="45" t="str">
        <f>IF((Disability!J35+Disability!J38)=100,"ok","nok")</f>
        <v>ok</v>
      </c>
      <c r="H26" s="45" t="str">
        <f>IF((Disability!K35+Disability!K38)=100,"ok","nok")</f>
        <v>ok</v>
      </c>
      <c r="I26" s="45" t="str">
        <f>IF((Disability!L35+Disability!L38)=100,"ok","nok")</f>
        <v>ok</v>
      </c>
      <c r="J26" s="45" t="str">
        <f>IF((Disability!M35+Disability!M38)=100,"ok","nok")</f>
        <v>ok</v>
      </c>
      <c r="K26" s="45" t="str">
        <f>IF((Disability!N35+Disability!N38)=100,"ok","nok")</f>
        <v>ok</v>
      </c>
      <c r="L26" s="45" t="str">
        <f>IF((Disability!O35+Disability!O38)=100,"ok","nok")</f>
        <v>ok</v>
      </c>
      <c r="M26" s="45" t="str">
        <f>IF((Disability!P35+Disability!P38)=100,"ok","nok")</f>
        <v>ok</v>
      </c>
      <c r="N26" s="45" t="str">
        <f>IF((Disability!Q35+Disability!Q38)=100,"ok","nok")</f>
        <v>ok</v>
      </c>
      <c r="O26" s="45" t="str">
        <f>IF((Disability!R35+Disability!R38)=100,"ok","nok")</f>
        <v>ok</v>
      </c>
      <c r="P26" s="45" t="str">
        <f>IF((Disability!S35+Disability!S38)=100,"ok","nok")</f>
        <v>ok</v>
      </c>
      <c r="Q26" s="45" t="str">
        <f>IF((Disability!T35+Disability!T38)=100,"ok","nok")</f>
        <v>ok</v>
      </c>
      <c r="R26" s="45" t="str">
        <f>IF((Disability!U35+Disability!U38)=100,"ok","nok")</f>
        <v>ok</v>
      </c>
      <c r="S26" s="45" t="str">
        <f>IF((Disability!V35+Disability!V38)=100,"ok","nok")</f>
        <v>ok</v>
      </c>
    </row>
    <row r="27" spans="2:19" x14ac:dyDescent="0.25">
      <c r="B27" s="45" t="str">
        <f>IF((Disability!E39+Disability!E42)=100,"ok","nok")</f>
        <v>ok</v>
      </c>
      <c r="C27" s="45" t="str">
        <f>IF((Disability!F39+Disability!F42)=100,"ok","nok")</f>
        <v>ok</v>
      </c>
      <c r="D27" s="45" t="str">
        <f>IF((Disability!G39+Disability!G42)=100,"ok","nok")</f>
        <v>ok</v>
      </c>
      <c r="E27" s="45" t="str">
        <f>IF((Disability!H39+Disability!H42)=100,"ok","nok")</f>
        <v>ok</v>
      </c>
      <c r="F27" s="45" t="str">
        <f>IF((Disability!I39+Disability!I42)=100,"ok","nok")</f>
        <v>ok</v>
      </c>
      <c r="G27" s="45" t="str">
        <f>IF((Disability!J39+Disability!J42)=100,"ok","nok")</f>
        <v>ok</v>
      </c>
      <c r="H27" s="45" t="str">
        <f>IF((Disability!K39+Disability!K42)=100,"ok","nok")</f>
        <v>ok</v>
      </c>
      <c r="I27" s="45" t="str">
        <f>IF((Disability!L39+Disability!L42)=100,"ok","nok")</f>
        <v>ok</v>
      </c>
      <c r="J27" s="45" t="str">
        <f>IF((Disability!M39+Disability!M42)=100,"ok","nok")</f>
        <v>ok</v>
      </c>
      <c r="K27" s="45" t="str">
        <f>IF((Disability!N39+Disability!N42)=100,"ok","nok")</f>
        <v>ok</v>
      </c>
      <c r="L27" s="45" t="str">
        <f>IF((Disability!O39+Disability!O42)=100,"ok","nok")</f>
        <v>ok</v>
      </c>
      <c r="M27" s="45" t="str">
        <f>IF((Disability!P39+Disability!P42)=100,"ok","nok")</f>
        <v>ok</v>
      </c>
      <c r="N27" s="45" t="str">
        <f>IF((Disability!Q39+Disability!Q42)=100,"ok","nok")</f>
        <v>ok</v>
      </c>
      <c r="O27" s="45" t="str">
        <f>IF((Disability!R39+Disability!R42)=100,"ok","nok")</f>
        <v>ok</v>
      </c>
      <c r="P27" s="45" t="str">
        <f>IF((Disability!S39+Disability!S42)=100,"ok","nok")</f>
        <v>ok</v>
      </c>
      <c r="Q27" s="45" t="str">
        <f>IF((Disability!T39+Disability!T42)=100,"ok","nok")</f>
        <v>ok</v>
      </c>
      <c r="R27" s="45" t="str">
        <f>IF((Disability!U39+Disability!U42)=100,"ok","nok")</f>
        <v>ok</v>
      </c>
      <c r="S27" s="45" t="str">
        <f>IF((Disability!V39+Disability!V42)=100,"ok","nok")</f>
        <v>ok</v>
      </c>
    </row>
    <row r="28" spans="2:19" x14ac:dyDescent="0.25">
      <c r="B28" s="45" t="str">
        <f>IF((Disability!E40+Disability!E43)=100,"ok","nok")</f>
        <v>ok</v>
      </c>
      <c r="C28" s="45" t="str">
        <f>IF((Disability!F40+Disability!F43)=100,"ok","nok")</f>
        <v>ok</v>
      </c>
      <c r="D28" s="45" t="str">
        <f>IF((Disability!G40+Disability!G43)=100,"ok","nok")</f>
        <v>ok</v>
      </c>
      <c r="E28" s="45" t="str">
        <f>IF((Disability!H40+Disability!H43)=100,"ok","nok")</f>
        <v>ok</v>
      </c>
      <c r="F28" s="45" t="str">
        <f>IF((Disability!I40+Disability!I43)=100,"ok","nok")</f>
        <v>ok</v>
      </c>
      <c r="G28" s="45" t="str">
        <f>IF((Disability!J40+Disability!J43)=100,"ok","nok")</f>
        <v>ok</v>
      </c>
      <c r="H28" s="45" t="str">
        <f>IF((Disability!K40+Disability!K43)=100,"ok","nok")</f>
        <v>ok</v>
      </c>
      <c r="I28" s="45" t="str">
        <f>IF((Disability!L40+Disability!L43)=100,"ok","nok")</f>
        <v>ok</v>
      </c>
      <c r="J28" s="45" t="str">
        <f>IF((Disability!M40+Disability!M43)=100,"ok","nok")</f>
        <v>ok</v>
      </c>
      <c r="K28" s="45" t="str">
        <f>IF((Disability!N40+Disability!N43)=100,"ok","nok")</f>
        <v>ok</v>
      </c>
      <c r="L28" s="45" t="str">
        <f>IF((Disability!O40+Disability!O43)=100,"ok","nok")</f>
        <v>ok</v>
      </c>
      <c r="M28" s="45" t="str">
        <f>IF((Disability!P40+Disability!P43)=100,"ok","nok")</f>
        <v>ok</v>
      </c>
      <c r="N28" s="45" t="str">
        <f>IF((Disability!Q40+Disability!Q43)=100,"ok","nok")</f>
        <v>ok</v>
      </c>
      <c r="O28" s="45" t="str">
        <f>IF((Disability!R40+Disability!R43)=100,"ok","nok")</f>
        <v>ok</v>
      </c>
      <c r="P28" s="45" t="str">
        <f>IF((Disability!S40+Disability!S43)=100,"ok","nok")</f>
        <v>ok</v>
      </c>
      <c r="Q28" s="45" t="str">
        <f>IF((Disability!T40+Disability!T43)=100,"ok","nok")</f>
        <v>ok</v>
      </c>
      <c r="R28" s="45" t="str">
        <f>IF((Disability!U40+Disability!U43)=100,"ok","nok")</f>
        <v>ok</v>
      </c>
      <c r="S28" s="45" t="str">
        <f>IF((Disability!V40+Disability!V43)=100,"ok","nok")</f>
        <v>ok</v>
      </c>
    </row>
    <row r="29" spans="2:19" x14ac:dyDescent="0.25">
      <c r="B29" s="45" t="str">
        <f>IF((Disability!E41+Disability!E44)=100,"ok","nok")</f>
        <v>ok</v>
      </c>
      <c r="C29" s="45" t="str">
        <f>IF((Disability!F41+Disability!F44)=100,"ok","nok")</f>
        <v>ok</v>
      </c>
      <c r="D29" s="45" t="str">
        <f>IF((Disability!G41+Disability!G44)=100,"ok","nok")</f>
        <v>ok</v>
      </c>
      <c r="E29" s="45" t="str">
        <f>IF((Disability!H41+Disability!H44)=100,"ok","nok")</f>
        <v>ok</v>
      </c>
      <c r="F29" s="45" t="str">
        <f>IF((Disability!I41+Disability!I44)=100,"ok","nok")</f>
        <v>ok</v>
      </c>
      <c r="G29" s="45" t="str">
        <f>IF((Disability!J41+Disability!J44)=100,"ok","nok")</f>
        <v>ok</v>
      </c>
      <c r="H29" s="45" t="str">
        <f>IF((Disability!K41+Disability!K44)=100,"ok","nok")</f>
        <v>ok</v>
      </c>
      <c r="I29" s="45" t="str">
        <f>IF((Disability!L41+Disability!L44)=100,"ok","nok")</f>
        <v>ok</v>
      </c>
      <c r="J29" s="45" t="str">
        <f>IF((Disability!M41+Disability!M44)=100,"ok","nok")</f>
        <v>ok</v>
      </c>
      <c r="K29" s="45" t="str">
        <f>IF((Disability!N41+Disability!N44)=100,"ok","nok")</f>
        <v>ok</v>
      </c>
      <c r="L29" s="45" t="str">
        <f>IF((Disability!O41+Disability!O44)=100,"ok","nok")</f>
        <v>ok</v>
      </c>
      <c r="M29" s="45" t="str">
        <f>IF((Disability!P41+Disability!P44)=100,"ok","nok")</f>
        <v>ok</v>
      </c>
      <c r="N29" s="45" t="str">
        <f>IF((Disability!Q41+Disability!Q44)=100,"ok","nok")</f>
        <v>ok</v>
      </c>
      <c r="O29" s="45" t="str">
        <f>IF((Disability!R41+Disability!R44)=100,"ok","nok")</f>
        <v>ok</v>
      </c>
      <c r="P29" s="45" t="str">
        <f>IF((Disability!S41+Disability!S44)=100,"ok","nok")</f>
        <v>ok</v>
      </c>
      <c r="Q29" s="45" t="str">
        <f>IF((Disability!T41+Disability!T44)=100,"ok","nok")</f>
        <v>ok</v>
      </c>
      <c r="R29" s="45" t="str">
        <f>IF((Disability!U41+Disability!U44)=100,"ok","nok")</f>
        <v>ok</v>
      </c>
      <c r="S29" s="45" t="str">
        <f>IF((Disability!V41+Disability!V44)=100,"ok","nok")</f>
        <v>ok</v>
      </c>
    </row>
    <row r="30" spans="2:19" x14ac:dyDescent="0.25">
      <c r="B30" s="45" t="str">
        <f>IF((Disability!E45+Disability!E48)=100,"ok","nok")</f>
        <v>ok</v>
      </c>
      <c r="C30" s="45" t="str">
        <f>IF((Disability!F45+Disability!F48)=100,"ok","nok")</f>
        <v>ok</v>
      </c>
      <c r="D30" s="45" t="str">
        <f>IF((Disability!G45+Disability!G48)=100,"ok","nok")</f>
        <v>ok</v>
      </c>
      <c r="E30" s="45" t="str">
        <f>IF((Disability!H45+Disability!H48)=100,"ok","nok")</f>
        <v>ok</v>
      </c>
      <c r="F30" s="45" t="str">
        <f>IF((Disability!I45+Disability!I48)=100,"ok","nok")</f>
        <v>ok</v>
      </c>
      <c r="G30" s="45" t="str">
        <f>IF((Disability!J45+Disability!J48)=100,"ok","nok")</f>
        <v>ok</v>
      </c>
      <c r="H30" s="45" t="str">
        <f>IF((Disability!K45+Disability!K48)=100,"ok","nok")</f>
        <v>ok</v>
      </c>
      <c r="I30" s="45" t="str">
        <f>IF((Disability!L45+Disability!L48)=100,"ok","nok")</f>
        <v>ok</v>
      </c>
      <c r="J30" s="45" t="str">
        <f>IF((Disability!M45+Disability!M48)=100,"ok","nok")</f>
        <v>ok</v>
      </c>
      <c r="K30" s="45" t="str">
        <f>IF((Disability!N45+Disability!N48)=100,"ok","nok")</f>
        <v>ok</v>
      </c>
      <c r="L30" s="45" t="str">
        <f>IF((Disability!O45+Disability!O48)=100,"ok","nok")</f>
        <v>ok</v>
      </c>
      <c r="M30" s="45" t="str">
        <f>IF((Disability!P45+Disability!P48)=100,"ok","nok")</f>
        <v>ok</v>
      </c>
      <c r="N30" s="45" t="str">
        <f>IF((Disability!Q45+Disability!Q48)=100,"ok","nok")</f>
        <v>ok</v>
      </c>
      <c r="O30" s="45" t="str">
        <f>IF((Disability!R45+Disability!R48)=100,"ok","nok")</f>
        <v>ok</v>
      </c>
      <c r="P30" s="45" t="str">
        <f>IF((Disability!S45+Disability!S48)=100,"ok","nok")</f>
        <v>ok</v>
      </c>
      <c r="Q30" s="45" t="str">
        <f>IF((Disability!T45+Disability!T48)=100,"ok","nok")</f>
        <v>ok</v>
      </c>
      <c r="R30" s="45" t="str">
        <f>IF((Disability!U45+Disability!U48)=100,"ok","nok")</f>
        <v>ok</v>
      </c>
      <c r="S30" s="45" t="str">
        <f>IF((Disability!V45+Disability!V48)=100,"ok","nok")</f>
        <v>ok</v>
      </c>
    </row>
    <row r="31" spans="2:19" x14ac:dyDescent="0.25">
      <c r="B31" s="45" t="str">
        <f>IF((Disability!E46+Disability!E49)=100,"ok","nok")</f>
        <v>ok</v>
      </c>
      <c r="C31" s="45" t="str">
        <f>IF((Disability!F46+Disability!F49)=100,"ok","nok")</f>
        <v>ok</v>
      </c>
      <c r="D31" s="45" t="str">
        <f>IF((Disability!G46+Disability!G49)=100,"ok","nok")</f>
        <v>ok</v>
      </c>
      <c r="E31" s="45" t="str">
        <f>IF((Disability!H46+Disability!H49)=100,"ok","nok")</f>
        <v>ok</v>
      </c>
      <c r="F31" s="45" t="str">
        <f>IF((Disability!I46+Disability!I49)=100,"ok","nok")</f>
        <v>ok</v>
      </c>
      <c r="G31" s="45" t="str">
        <f>IF((Disability!J46+Disability!J49)=100,"ok","nok")</f>
        <v>ok</v>
      </c>
      <c r="H31" s="45" t="str">
        <f>IF((Disability!K46+Disability!K49)=100,"ok","nok")</f>
        <v>ok</v>
      </c>
      <c r="I31" s="45" t="str">
        <f>IF((Disability!L46+Disability!L49)=100,"ok","nok")</f>
        <v>ok</v>
      </c>
      <c r="J31" s="45" t="str">
        <f>IF((Disability!M46+Disability!M49)=100,"ok","nok")</f>
        <v>ok</v>
      </c>
      <c r="K31" s="45" t="str">
        <f>IF((Disability!N46+Disability!N49)=100,"ok","nok")</f>
        <v>ok</v>
      </c>
      <c r="L31" s="45" t="str">
        <f>IF((Disability!O46+Disability!O49)=100,"ok","nok")</f>
        <v>ok</v>
      </c>
      <c r="M31" s="45" t="str">
        <f>IF((Disability!P46+Disability!P49)=100,"ok","nok")</f>
        <v>ok</v>
      </c>
      <c r="N31" s="45" t="str">
        <f>IF((Disability!Q46+Disability!Q49)=100,"ok","nok")</f>
        <v>ok</v>
      </c>
      <c r="O31" s="45" t="str">
        <f>IF((Disability!R46+Disability!R49)=100,"ok","nok")</f>
        <v>ok</v>
      </c>
      <c r="P31" s="45" t="str">
        <f>IF((Disability!S46+Disability!S49)=100,"ok","nok")</f>
        <v>ok</v>
      </c>
      <c r="Q31" s="45" t="str">
        <f>IF((Disability!T46+Disability!T49)=100,"ok","nok")</f>
        <v>ok</v>
      </c>
      <c r="R31" s="45" t="str">
        <f>IF((Disability!U46+Disability!U49)=100,"ok","nok")</f>
        <v>ok</v>
      </c>
      <c r="S31" s="45" t="str">
        <f>IF((Disability!V46+Disability!V49)=100,"ok","nok")</f>
        <v>ok</v>
      </c>
    </row>
    <row r="32" spans="2:19" x14ac:dyDescent="0.25">
      <c r="B32" s="45" t="str">
        <f>IF((Disability!E47+Disability!E50)=100,"ok","nok")</f>
        <v>ok</v>
      </c>
      <c r="C32" s="45" t="str">
        <f>IF((Disability!F47+Disability!F50)=100,"ok","nok")</f>
        <v>ok</v>
      </c>
      <c r="D32" s="45" t="str">
        <f>IF((Disability!G47+Disability!G50)=100,"ok","nok")</f>
        <v>ok</v>
      </c>
      <c r="E32" s="45" t="str">
        <f>IF((Disability!H47+Disability!H50)=100,"ok","nok")</f>
        <v>ok</v>
      </c>
      <c r="F32" s="45" t="str">
        <f>IF((Disability!I47+Disability!I50)=100,"ok","nok")</f>
        <v>ok</v>
      </c>
      <c r="G32" s="45" t="str">
        <f>IF((Disability!J47+Disability!J50)=100,"ok","nok")</f>
        <v>ok</v>
      </c>
      <c r="H32" s="45" t="str">
        <f>IF((Disability!K47+Disability!K50)=100,"ok","nok")</f>
        <v>ok</v>
      </c>
      <c r="I32" s="45" t="str">
        <f>IF((Disability!L47+Disability!L50)=100,"ok","nok")</f>
        <v>ok</v>
      </c>
      <c r="J32" s="45" t="str">
        <f>IF((Disability!M47+Disability!M50)=100,"ok","nok")</f>
        <v>ok</v>
      </c>
      <c r="K32" s="45" t="str">
        <f>IF((Disability!N47+Disability!N50)=100,"ok","nok")</f>
        <v>ok</v>
      </c>
      <c r="L32" s="45" t="str">
        <f>IF((Disability!O47+Disability!O50)=100,"ok","nok")</f>
        <v>ok</v>
      </c>
      <c r="M32" s="45" t="str">
        <f>IF((Disability!P47+Disability!P50)=100,"ok","nok")</f>
        <v>ok</v>
      </c>
      <c r="N32" s="45" t="str">
        <f>IF((Disability!Q47+Disability!Q50)=100,"ok","nok")</f>
        <v>ok</v>
      </c>
      <c r="O32" s="45" t="str">
        <f>IF((Disability!R47+Disability!R50)=100,"ok","nok")</f>
        <v>ok</v>
      </c>
      <c r="P32" s="45" t="str">
        <f>IF((Disability!S47+Disability!S50)=100,"ok","nok")</f>
        <v>ok</v>
      </c>
      <c r="Q32" s="45" t="str">
        <f>IF((Disability!T47+Disability!T50)=100,"ok","nok")</f>
        <v>ok</v>
      </c>
      <c r="R32" s="45" t="str">
        <f>IF((Disability!U47+Disability!U50)=100,"ok","nok")</f>
        <v>ok</v>
      </c>
      <c r="S32" s="45" t="str">
        <f>IF((Disability!V47+Disability!V50)=100,"ok","nok")</f>
        <v>ok</v>
      </c>
    </row>
    <row r="33" spans="2:19" x14ac:dyDescent="0.25">
      <c r="B33" s="45" t="str">
        <f>IF((Disability!E51+Disability!E54)=100,"ok","nok")</f>
        <v>ok</v>
      </c>
      <c r="C33" s="45" t="str">
        <f>IF((Disability!F51+Disability!F54)=100,"ok","nok")</f>
        <v>ok</v>
      </c>
      <c r="D33" s="45" t="str">
        <f>IF((Disability!G51+Disability!G54)=100,"ok","nok")</f>
        <v>ok</v>
      </c>
      <c r="E33" s="45" t="str">
        <f>IF((Disability!H51+Disability!H54)=100,"ok","nok")</f>
        <v>ok</v>
      </c>
      <c r="F33" s="45" t="str">
        <f>IF((Disability!I51+Disability!I54)=100,"ok","nok")</f>
        <v>ok</v>
      </c>
      <c r="G33" s="45" t="str">
        <f>IF((Disability!J51+Disability!J54)=100,"ok","nok")</f>
        <v>ok</v>
      </c>
      <c r="H33" s="45" t="str">
        <f>IF((Disability!K51+Disability!K54)=100,"ok","nok")</f>
        <v>ok</v>
      </c>
      <c r="I33" s="45" t="str">
        <f>IF((Disability!L51+Disability!L54)=100,"ok","nok")</f>
        <v>ok</v>
      </c>
      <c r="J33" s="45" t="str">
        <f>IF((Disability!M51+Disability!M54)=100,"ok","nok")</f>
        <v>ok</v>
      </c>
      <c r="K33" s="45" t="str">
        <f>IF((Disability!N51+Disability!N54)=100,"ok","nok")</f>
        <v>ok</v>
      </c>
      <c r="L33" s="45" t="str">
        <f>IF((Disability!O51+Disability!O54)=100,"ok","nok")</f>
        <v>ok</v>
      </c>
      <c r="M33" s="45" t="str">
        <f>IF((Disability!P51+Disability!P54)=100,"ok","nok")</f>
        <v>ok</v>
      </c>
      <c r="N33" s="45" t="str">
        <f>IF((Disability!Q51+Disability!Q54)=100,"ok","nok")</f>
        <v>ok</v>
      </c>
      <c r="O33" s="45" t="str">
        <f>IF((Disability!R51+Disability!R54)=100,"ok","nok")</f>
        <v>ok</v>
      </c>
      <c r="P33" s="45" t="str">
        <f>IF((Disability!S51+Disability!S54)=100,"ok","nok")</f>
        <v>ok</v>
      </c>
      <c r="Q33" s="45" t="str">
        <f>IF((Disability!T51+Disability!T54)=100,"ok","nok")</f>
        <v>ok</v>
      </c>
      <c r="R33" s="45" t="str">
        <f>IF((Disability!U51+Disability!U54)=100,"ok","nok")</f>
        <v>ok</v>
      </c>
      <c r="S33" s="45" t="str">
        <f>IF((Disability!V51+Disability!V54)=100,"ok","nok")</f>
        <v>ok</v>
      </c>
    </row>
    <row r="34" spans="2:19" x14ac:dyDescent="0.25">
      <c r="B34" s="45" t="str">
        <f>IF((Disability!E52+Disability!E55)=100,"ok","nok")</f>
        <v>ok</v>
      </c>
      <c r="C34" s="45" t="str">
        <f>IF((Disability!F52+Disability!F55)=100,"ok","nok")</f>
        <v>ok</v>
      </c>
      <c r="D34" s="45" t="str">
        <f>IF((Disability!G52+Disability!G55)=100,"ok","nok")</f>
        <v>ok</v>
      </c>
      <c r="E34" s="45" t="str">
        <f>IF((Disability!H52+Disability!H55)=100,"ok","nok")</f>
        <v>ok</v>
      </c>
      <c r="F34" s="45" t="str">
        <f>IF((Disability!I52+Disability!I55)=100,"ok","nok")</f>
        <v>ok</v>
      </c>
      <c r="G34" s="45" t="str">
        <f>IF((Disability!J52+Disability!J55)=100,"ok","nok")</f>
        <v>ok</v>
      </c>
      <c r="H34" s="45" t="str">
        <f>IF((Disability!K52+Disability!K55)=100,"ok","nok")</f>
        <v>ok</v>
      </c>
      <c r="I34" s="45" t="str">
        <f>IF((Disability!L52+Disability!L55)=100,"ok","nok")</f>
        <v>ok</v>
      </c>
      <c r="J34" s="45" t="str">
        <f>IF((Disability!M52+Disability!M55)=100,"ok","nok")</f>
        <v>ok</v>
      </c>
      <c r="K34" s="45" t="str">
        <f>IF((Disability!N52+Disability!N55)=100,"ok","nok")</f>
        <v>ok</v>
      </c>
      <c r="L34" s="45" t="str">
        <f>IF((Disability!O52+Disability!O55)=100,"ok","nok")</f>
        <v>ok</v>
      </c>
      <c r="M34" s="45" t="str">
        <f>IF((Disability!P52+Disability!P55)=100,"ok","nok")</f>
        <v>ok</v>
      </c>
      <c r="N34" s="45" t="str">
        <f>IF((Disability!Q52+Disability!Q55)=100,"ok","nok")</f>
        <v>ok</v>
      </c>
      <c r="O34" s="45" t="str">
        <f>IF((Disability!R52+Disability!R55)=100,"ok","nok")</f>
        <v>ok</v>
      </c>
      <c r="P34" s="45" t="str">
        <f>IF((Disability!S52+Disability!S55)=100,"ok","nok")</f>
        <v>ok</v>
      </c>
      <c r="Q34" s="45" t="str">
        <f>IF((Disability!T52+Disability!T55)=100,"ok","nok")</f>
        <v>ok</v>
      </c>
      <c r="R34" s="45" t="str">
        <f>IF((Disability!U52+Disability!U55)=100,"ok","nok")</f>
        <v>ok</v>
      </c>
      <c r="S34" s="45" t="str">
        <f>IF((Disability!V52+Disability!V55)=100,"ok","nok")</f>
        <v>ok</v>
      </c>
    </row>
    <row r="35" spans="2:19" x14ac:dyDescent="0.25">
      <c r="B35" s="45" t="str">
        <f>IF((Disability!E53+Disability!E56)=100,"ok","nok")</f>
        <v>ok</v>
      </c>
      <c r="C35" s="45" t="str">
        <f>IF((Disability!F53+Disability!F56)=100,"ok","nok")</f>
        <v>ok</v>
      </c>
      <c r="D35" s="45" t="str">
        <f>IF((Disability!G53+Disability!G56)=100,"ok","nok")</f>
        <v>ok</v>
      </c>
      <c r="E35" s="45" t="str">
        <f>IF((Disability!H53+Disability!H56)=100,"ok","nok")</f>
        <v>ok</v>
      </c>
      <c r="F35" s="45" t="str">
        <f>IF((Disability!I53+Disability!I56)=100,"ok","nok")</f>
        <v>ok</v>
      </c>
      <c r="G35" s="45" t="str">
        <f>IF((Disability!J53+Disability!J56)=100,"ok","nok")</f>
        <v>ok</v>
      </c>
      <c r="H35" s="45" t="str">
        <f>IF((Disability!K53+Disability!K56)=100,"ok","nok")</f>
        <v>ok</v>
      </c>
      <c r="I35" s="45" t="str">
        <f>IF((Disability!L53+Disability!L56)=100,"ok","nok")</f>
        <v>ok</v>
      </c>
      <c r="J35" s="45" t="str">
        <f>IF((Disability!M53+Disability!M56)=100,"ok","nok")</f>
        <v>ok</v>
      </c>
      <c r="K35" s="45" t="str">
        <f>IF((Disability!N53+Disability!N56)=100,"ok","nok")</f>
        <v>ok</v>
      </c>
      <c r="L35" s="45" t="str">
        <f>IF((Disability!O53+Disability!O56)=100,"ok","nok")</f>
        <v>ok</v>
      </c>
      <c r="M35" s="45" t="str">
        <f>IF((Disability!P53+Disability!P56)=100,"ok","nok")</f>
        <v>ok</v>
      </c>
      <c r="N35" s="45" t="str">
        <f>IF((Disability!Q53+Disability!Q56)=100,"ok","nok")</f>
        <v>ok</v>
      </c>
      <c r="O35" s="45" t="str">
        <f>IF((Disability!R53+Disability!R56)=100,"ok","nok")</f>
        <v>ok</v>
      </c>
      <c r="P35" s="45" t="str">
        <f>IF((Disability!S53+Disability!S56)=100,"ok","nok")</f>
        <v>ok</v>
      </c>
      <c r="Q35" s="45" t="str">
        <f>IF((Disability!T53+Disability!T56)=100,"ok","nok")</f>
        <v>ok</v>
      </c>
      <c r="R35" s="45" t="str">
        <f>IF((Disability!U53+Disability!U56)=100,"ok","nok")</f>
        <v>ok</v>
      </c>
      <c r="S35" s="45" t="str">
        <f>IF((Disability!V53+Disability!V56)=100,"ok","nok")</f>
        <v>ok</v>
      </c>
    </row>
    <row r="36" spans="2:19" x14ac:dyDescent="0.25">
      <c r="B36" s="45" t="str">
        <f>IF((Disability!E57+Disability!E60)=100,"ok","nok")</f>
        <v>ok</v>
      </c>
      <c r="C36" s="45" t="str">
        <f>IF((Disability!F57+Disability!F60)=100,"ok","nok")</f>
        <v>ok</v>
      </c>
      <c r="D36" s="45" t="str">
        <f>IF((Disability!G57+Disability!G60)=100,"ok","nok")</f>
        <v>ok</v>
      </c>
      <c r="E36" s="45" t="str">
        <f>IF((Disability!H57+Disability!H60)=100,"ok","nok")</f>
        <v>ok</v>
      </c>
      <c r="F36" s="45" t="str">
        <f>IF((Disability!I57+Disability!I60)=100,"ok","nok")</f>
        <v>ok</v>
      </c>
      <c r="G36" s="45" t="str">
        <f>IF((Disability!J57+Disability!J60)=100,"ok","nok")</f>
        <v>ok</v>
      </c>
      <c r="H36" s="45" t="str">
        <f>IF((Disability!K57+Disability!K60)=100,"ok","nok")</f>
        <v>ok</v>
      </c>
      <c r="I36" s="45" t="str">
        <f>IF((Disability!L57+Disability!L60)=100,"ok","nok")</f>
        <v>ok</v>
      </c>
      <c r="J36" s="45" t="str">
        <f>IF((Disability!M57+Disability!M60)=100,"ok","nok")</f>
        <v>ok</v>
      </c>
      <c r="K36" s="45" t="str">
        <f>IF((Disability!N57+Disability!N60)=100,"ok","nok")</f>
        <v>ok</v>
      </c>
      <c r="L36" s="45" t="str">
        <f>IF((Disability!O57+Disability!O60)=100,"ok","nok")</f>
        <v>ok</v>
      </c>
      <c r="M36" s="45" t="str">
        <f>IF((Disability!P57+Disability!P60)=100,"ok","nok")</f>
        <v>ok</v>
      </c>
      <c r="N36" s="45" t="str">
        <f>IF((Disability!Q57+Disability!Q60)=100,"ok","nok")</f>
        <v>ok</v>
      </c>
      <c r="O36" s="45" t="str">
        <f>IF((Disability!R57+Disability!R60)=100,"ok","nok")</f>
        <v>ok</v>
      </c>
      <c r="P36" s="45" t="str">
        <f>IF((Disability!S57+Disability!S60)=100,"ok","nok")</f>
        <v>ok</v>
      </c>
      <c r="Q36" s="45" t="str">
        <f>IF((Disability!T57+Disability!T60)=100,"ok","nok")</f>
        <v>ok</v>
      </c>
      <c r="R36" s="45" t="str">
        <f>IF((Disability!U57+Disability!U60)=100,"ok","nok")</f>
        <v>ok</v>
      </c>
      <c r="S36" s="45" t="str">
        <f>IF((Disability!V57+Disability!V60)=100,"ok","nok")</f>
        <v>ok</v>
      </c>
    </row>
    <row r="37" spans="2:19" x14ac:dyDescent="0.25">
      <c r="B37" s="45" t="str">
        <f>IF((Disability!E58+Disability!E61)=100,"ok","nok")</f>
        <v>ok</v>
      </c>
      <c r="C37" s="45" t="str">
        <f>IF((Disability!F58+Disability!F61)=100,"ok","nok")</f>
        <v>ok</v>
      </c>
      <c r="D37" s="45" t="str">
        <f>IF((Disability!G58+Disability!G61)=100,"ok","nok")</f>
        <v>ok</v>
      </c>
      <c r="E37" s="45" t="str">
        <f>IF((Disability!H58+Disability!H61)=100,"ok","nok")</f>
        <v>ok</v>
      </c>
      <c r="F37" s="45" t="str">
        <f>IF((Disability!I58+Disability!I61)=100,"ok","nok")</f>
        <v>ok</v>
      </c>
      <c r="G37" s="45" t="str">
        <f>IF((Disability!J58+Disability!J61)=100,"ok","nok")</f>
        <v>ok</v>
      </c>
      <c r="H37" s="45" t="str">
        <f>IF((Disability!K58+Disability!K61)=100,"ok","nok")</f>
        <v>ok</v>
      </c>
      <c r="I37" s="45" t="str">
        <f>IF((Disability!L58+Disability!L61)=100,"ok","nok")</f>
        <v>ok</v>
      </c>
      <c r="J37" s="45" t="str">
        <f>IF((Disability!M58+Disability!M61)=100,"ok","nok")</f>
        <v>ok</v>
      </c>
      <c r="K37" s="45" t="str">
        <f>IF((Disability!N58+Disability!N61)=100,"ok","nok")</f>
        <v>ok</v>
      </c>
      <c r="L37" s="45" t="str">
        <f>IF((Disability!O58+Disability!O61)=100,"ok","nok")</f>
        <v>ok</v>
      </c>
      <c r="M37" s="45" t="str">
        <f>IF((Disability!P58+Disability!P61)=100,"ok","nok")</f>
        <v>ok</v>
      </c>
      <c r="N37" s="45" t="str">
        <f>IF((Disability!Q58+Disability!Q61)=100,"ok","nok")</f>
        <v>ok</v>
      </c>
      <c r="O37" s="45" t="str">
        <f>IF((Disability!R58+Disability!R61)=100,"ok","nok")</f>
        <v>ok</v>
      </c>
      <c r="P37" s="45" t="str">
        <f>IF((Disability!S58+Disability!S61)=100,"ok","nok")</f>
        <v>ok</v>
      </c>
      <c r="Q37" s="45" t="str">
        <f>IF((Disability!T58+Disability!T61)=100,"ok","nok")</f>
        <v>ok</v>
      </c>
      <c r="R37" s="45" t="str">
        <f>IF((Disability!U58+Disability!U61)=100,"ok","nok")</f>
        <v>ok</v>
      </c>
      <c r="S37" s="45" t="str">
        <f>IF((Disability!V58+Disability!V61)=100,"ok","nok")</f>
        <v>ok</v>
      </c>
    </row>
    <row r="38" spans="2:19" x14ac:dyDescent="0.25">
      <c r="B38" s="45" t="str">
        <f>IF((Disability!E59+Disability!E62)=100,"ok","nok")</f>
        <v>ok</v>
      </c>
      <c r="C38" s="45" t="str">
        <f>IF((Disability!F59+Disability!F62)=100,"ok","nok")</f>
        <v>ok</v>
      </c>
      <c r="D38" s="45" t="str">
        <f>IF((Disability!G59+Disability!G62)=100,"ok","nok")</f>
        <v>ok</v>
      </c>
      <c r="E38" s="45" t="str">
        <f>IF((Disability!H59+Disability!H62)=100,"ok","nok")</f>
        <v>ok</v>
      </c>
      <c r="F38" s="45" t="str">
        <f>IF((Disability!I59+Disability!I62)=100,"ok","nok")</f>
        <v>ok</v>
      </c>
      <c r="G38" s="45" t="str">
        <f>IF((Disability!J59+Disability!J62)=100,"ok","nok")</f>
        <v>ok</v>
      </c>
      <c r="H38" s="45" t="str">
        <f>IF((Disability!K59+Disability!K62)=100,"ok","nok")</f>
        <v>ok</v>
      </c>
      <c r="I38" s="45" t="str">
        <f>IF((Disability!L59+Disability!L62)=100,"ok","nok")</f>
        <v>ok</v>
      </c>
      <c r="J38" s="45" t="str">
        <f>IF((Disability!M59+Disability!M62)=100,"ok","nok")</f>
        <v>ok</v>
      </c>
      <c r="K38" s="45" t="str">
        <f>IF((Disability!N59+Disability!N62)=100,"ok","nok")</f>
        <v>ok</v>
      </c>
      <c r="L38" s="45" t="str">
        <f>IF((Disability!O59+Disability!O62)=100,"ok","nok")</f>
        <v>ok</v>
      </c>
      <c r="M38" s="45" t="str">
        <f>IF((Disability!P59+Disability!P62)=100,"ok","nok")</f>
        <v>ok</v>
      </c>
      <c r="N38" s="45" t="str">
        <f>IF((Disability!Q59+Disability!Q62)=100,"ok","nok")</f>
        <v>ok</v>
      </c>
      <c r="O38" s="45" t="str">
        <f>IF((Disability!R59+Disability!R62)=100,"ok","nok")</f>
        <v>ok</v>
      </c>
      <c r="P38" s="45" t="str">
        <f>IF((Disability!S59+Disability!S62)=100,"ok","nok")</f>
        <v>ok</v>
      </c>
      <c r="Q38" s="45" t="str">
        <f>IF((Disability!T59+Disability!T62)=100,"ok","nok")</f>
        <v>ok</v>
      </c>
      <c r="R38" s="45" t="str">
        <f>IF((Disability!U59+Disability!U62)=100,"ok","nok")</f>
        <v>ok</v>
      </c>
      <c r="S38" s="45" t="str">
        <f>IF((Disability!V59+Disability!V62)=100,"ok","nok")</f>
        <v>ok</v>
      </c>
    </row>
    <row r="44" spans="2:19" x14ac:dyDescent="0.25"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</row>
    <row r="45" spans="2:19" x14ac:dyDescent="0.25"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</row>
    <row r="46" spans="2:19" x14ac:dyDescent="0.25"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</row>
    <row r="47" spans="2:19" x14ac:dyDescent="0.25"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</row>
    <row r="48" spans="2:19" x14ac:dyDescent="0.25"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</row>
    <row r="49" spans="2:19" x14ac:dyDescent="0.25"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</row>
    <row r="50" spans="2:19" x14ac:dyDescent="0.25"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</row>
    <row r="51" spans="2:19" x14ac:dyDescent="0.25"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</row>
    <row r="52" spans="2:19" x14ac:dyDescent="0.25"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</row>
    <row r="53" spans="2:19" x14ac:dyDescent="0.25"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</row>
    <row r="54" spans="2:19" x14ac:dyDescent="0.25"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</row>
    <row r="55" spans="2:19" x14ac:dyDescent="0.25"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</row>
    <row r="56" spans="2:19" x14ac:dyDescent="0.25"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</row>
    <row r="57" spans="2:19" x14ac:dyDescent="0.25"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</row>
    <row r="58" spans="2:19" x14ac:dyDescent="0.25"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</row>
    <row r="59" spans="2:19" x14ac:dyDescent="0.25"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</row>
    <row r="60" spans="2:19" x14ac:dyDescent="0.25"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</row>
    <row r="61" spans="2:19" x14ac:dyDescent="0.25"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</row>
    <row r="62" spans="2:19" x14ac:dyDescent="0.25"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</row>
    <row r="63" spans="2:19" x14ac:dyDescent="0.25"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</row>
    <row r="64" spans="2:19" x14ac:dyDescent="0.25"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</row>
    <row r="65" spans="2:19" x14ac:dyDescent="0.25"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</row>
    <row r="66" spans="2:19" x14ac:dyDescent="0.25"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</row>
    <row r="67" spans="2:19" x14ac:dyDescent="0.25"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</row>
    <row r="68" spans="2:19" x14ac:dyDescent="0.25"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</row>
    <row r="69" spans="2:19" x14ac:dyDescent="0.25"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</row>
    <row r="70" spans="2:19" x14ac:dyDescent="0.25"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</row>
    <row r="71" spans="2:19" x14ac:dyDescent="0.25"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</row>
    <row r="72" spans="2:19" x14ac:dyDescent="0.25"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</row>
    <row r="73" spans="2:19" x14ac:dyDescent="0.25"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</row>
    <row r="74" spans="2:19" x14ac:dyDescent="0.25"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</row>
    <row r="75" spans="2:19" x14ac:dyDescent="0.25"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</row>
    <row r="76" spans="2:19" x14ac:dyDescent="0.25"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</row>
    <row r="77" spans="2:19" x14ac:dyDescent="0.25"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</row>
    <row r="78" spans="2:19" x14ac:dyDescent="0.25"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</row>
    <row r="79" spans="2:19" x14ac:dyDescent="0.25"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</row>
    <row r="80" spans="2:19" x14ac:dyDescent="0.25"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</row>
    <row r="81" spans="2:19" x14ac:dyDescent="0.25"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</row>
    <row r="82" spans="2:19" x14ac:dyDescent="0.25"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</row>
    <row r="83" spans="2:19" x14ac:dyDescent="0.25"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</row>
    <row r="84" spans="2:19" x14ac:dyDescent="0.25"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</row>
    <row r="85" spans="2:19" x14ac:dyDescent="0.25"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</row>
    <row r="86" spans="2:19" x14ac:dyDescent="0.25"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</row>
    <row r="87" spans="2:19" x14ac:dyDescent="0.25"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</row>
    <row r="88" spans="2:19" x14ac:dyDescent="0.25"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</row>
    <row r="89" spans="2:19" x14ac:dyDescent="0.25"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</row>
    <row r="90" spans="2:19" x14ac:dyDescent="0.25"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</row>
    <row r="91" spans="2:19" x14ac:dyDescent="0.25"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</row>
    <row r="92" spans="2:19" x14ac:dyDescent="0.25"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</row>
    <row r="93" spans="2:19" x14ac:dyDescent="0.25"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</row>
    <row r="94" spans="2:19" x14ac:dyDescent="0.25"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</row>
    <row r="95" spans="2:19" x14ac:dyDescent="0.25"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</row>
    <row r="96" spans="2:19" x14ac:dyDescent="0.25"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</row>
    <row r="97" spans="2:19" x14ac:dyDescent="0.25"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</row>
    <row r="98" spans="2:19" x14ac:dyDescent="0.25"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</row>
    <row r="99" spans="2:19" x14ac:dyDescent="0.25"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</row>
    <row r="100" spans="2:19" x14ac:dyDescent="0.25"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</row>
    <row r="101" spans="2:19" x14ac:dyDescent="0.25"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</row>
    <row r="102" spans="2:19" x14ac:dyDescent="0.25"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</row>
    <row r="103" spans="2:19" x14ac:dyDescent="0.25"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</row>
    <row r="104" spans="2:19" x14ac:dyDescent="0.25"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</row>
    <row r="105" spans="2:19" x14ac:dyDescent="0.25"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</row>
    <row r="106" spans="2:19" x14ac:dyDescent="0.25"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</row>
    <row r="107" spans="2:19" x14ac:dyDescent="0.25"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</row>
    <row r="108" spans="2:19" x14ac:dyDescent="0.25"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</row>
    <row r="109" spans="2:19" x14ac:dyDescent="0.25"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</row>
    <row r="110" spans="2:19" x14ac:dyDescent="0.25"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</row>
    <row r="111" spans="2:19" x14ac:dyDescent="0.25"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</row>
    <row r="112" spans="2:19" x14ac:dyDescent="0.25"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</row>
    <row r="113" spans="2:19" x14ac:dyDescent="0.25"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</row>
    <row r="114" spans="2:19" x14ac:dyDescent="0.25"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</row>
    <row r="115" spans="2:19" x14ac:dyDescent="0.25"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</row>
    <row r="116" spans="2:19" x14ac:dyDescent="0.25"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</row>
    <row r="117" spans="2:19" x14ac:dyDescent="0.25"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</row>
    <row r="118" spans="2:19" x14ac:dyDescent="0.25"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</row>
    <row r="119" spans="2:19" x14ac:dyDescent="0.25"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</row>
    <row r="120" spans="2:19" x14ac:dyDescent="0.25"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</row>
    <row r="121" spans="2:19" x14ac:dyDescent="0.25"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</row>
    <row r="122" spans="2:19" x14ac:dyDescent="0.25"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</row>
    <row r="123" spans="2:19" x14ac:dyDescent="0.25"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</row>
    <row r="124" spans="2:19" x14ac:dyDescent="0.25"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</row>
    <row r="125" spans="2:19" x14ac:dyDescent="0.25"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</row>
    <row r="126" spans="2:19" x14ac:dyDescent="0.25"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</row>
    <row r="127" spans="2:19" x14ac:dyDescent="0.25"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</row>
    <row r="128" spans="2:19" x14ac:dyDescent="0.25"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</row>
    <row r="129" spans="2:19" x14ac:dyDescent="0.25"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</row>
    <row r="130" spans="2:19" x14ac:dyDescent="0.25"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</row>
    <row r="131" spans="2:19" x14ac:dyDescent="0.25"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</row>
    <row r="132" spans="2:19" x14ac:dyDescent="0.25"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</row>
    <row r="133" spans="2:19" x14ac:dyDescent="0.25"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</row>
    <row r="134" spans="2:19" x14ac:dyDescent="0.25"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</row>
    <row r="135" spans="2:19" x14ac:dyDescent="0.25"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</row>
    <row r="136" spans="2:19" x14ac:dyDescent="0.25"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</row>
    <row r="137" spans="2:19" x14ac:dyDescent="0.25"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</row>
    <row r="138" spans="2:19" x14ac:dyDescent="0.25"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</row>
    <row r="139" spans="2:19" x14ac:dyDescent="0.25"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</row>
    <row r="140" spans="2:19" x14ac:dyDescent="0.25"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</row>
    <row r="141" spans="2:19" x14ac:dyDescent="0.25"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</row>
    <row r="142" spans="2:19" x14ac:dyDescent="0.25"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</row>
    <row r="143" spans="2:19" x14ac:dyDescent="0.25"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</row>
    <row r="144" spans="2:19" x14ac:dyDescent="0.25"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</row>
    <row r="145" spans="2:19" x14ac:dyDescent="0.25"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</row>
    <row r="146" spans="2:19" x14ac:dyDescent="0.25"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</row>
    <row r="147" spans="2:19" x14ac:dyDescent="0.25"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</row>
    <row r="148" spans="2:19" x14ac:dyDescent="0.25"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</row>
    <row r="149" spans="2:19" x14ac:dyDescent="0.25"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</row>
    <row r="150" spans="2:19" x14ac:dyDescent="0.25"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</row>
    <row r="151" spans="2:19" x14ac:dyDescent="0.25"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</row>
    <row r="152" spans="2:19" x14ac:dyDescent="0.25"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</row>
    <row r="153" spans="2:19" x14ac:dyDescent="0.25"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</row>
    <row r="154" spans="2:19" x14ac:dyDescent="0.25"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</row>
    <row r="155" spans="2:19" x14ac:dyDescent="0.25"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</row>
    <row r="156" spans="2:19" x14ac:dyDescent="0.25"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</row>
    <row r="157" spans="2:19" x14ac:dyDescent="0.25"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</row>
    <row r="158" spans="2:19" x14ac:dyDescent="0.25"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</row>
    <row r="159" spans="2:19" x14ac:dyDescent="0.25"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</row>
    <row r="160" spans="2:19" x14ac:dyDescent="0.25"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</row>
    <row r="161" spans="2:19" x14ac:dyDescent="0.25"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</row>
    <row r="162" spans="2:19" x14ac:dyDescent="0.25"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</row>
    <row r="163" spans="2:19" x14ac:dyDescent="0.25"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</row>
    <row r="164" spans="2:19" x14ac:dyDescent="0.25"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</row>
    <row r="165" spans="2:19" x14ac:dyDescent="0.25"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</row>
    <row r="166" spans="2:19" x14ac:dyDescent="0.25"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</row>
    <row r="167" spans="2:19" x14ac:dyDescent="0.25"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</row>
    <row r="168" spans="2:19" x14ac:dyDescent="0.25"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</row>
    <row r="169" spans="2:19" x14ac:dyDescent="0.25"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</row>
    <row r="170" spans="2:19" x14ac:dyDescent="0.25"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12DE-9A65-4F02-9CED-3E3717126CD8}">
  <sheetPr>
    <tabColor rgb="FFFFFF00"/>
  </sheetPr>
  <dimension ref="B2"/>
  <sheetViews>
    <sheetView workbookViewId="0">
      <selection activeCell="AC1" sqref="AC1"/>
    </sheetView>
  </sheetViews>
  <sheetFormatPr defaultRowHeight="15" x14ac:dyDescent="0.25"/>
  <cols>
    <col min="1" max="16384" width="9.140625" style="12"/>
  </cols>
  <sheetData>
    <row r="2" spans="2:2" ht="63.75" x14ac:dyDescent="1">
      <c r="B2" s="1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04F23-AA95-4E92-899C-0533E7F4ACE9}">
  <dimension ref="A1:AF88"/>
  <sheetViews>
    <sheetView zoomScaleNormal="100" workbookViewId="0">
      <pane ySplit="1" topLeftCell="A2" activePane="bottomLeft" state="frozen"/>
      <selection pane="bottomLeft" activeCell="S1" sqref="S1"/>
    </sheetView>
  </sheetViews>
  <sheetFormatPr defaultRowHeight="15" customHeight="1" x14ac:dyDescent="0.25"/>
  <cols>
    <col min="1" max="1" width="29.7109375" style="2" customWidth="1"/>
    <col min="2" max="2" width="9.140625" style="2"/>
    <col min="3" max="3" width="25.28515625" style="11" customWidth="1"/>
    <col min="4" max="32" width="13.42578125" customWidth="1"/>
  </cols>
  <sheetData>
    <row r="1" spans="1:32" s="3" customFormat="1" ht="15" customHeight="1" x14ac:dyDescent="0.25">
      <c r="A1" s="6" t="s">
        <v>25</v>
      </c>
      <c r="C1" s="7"/>
      <c r="D1" s="3">
        <v>2008</v>
      </c>
      <c r="E1" s="3">
        <v>2009</v>
      </c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s="3">
        <v>2025</v>
      </c>
      <c r="V1" s="3">
        <v>2026</v>
      </c>
      <c r="W1" s="3">
        <v>2027</v>
      </c>
      <c r="X1" s="3">
        <v>2028</v>
      </c>
      <c r="Y1" s="3">
        <v>2029</v>
      </c>
      <c r="Z1" s="3">
        <v>2030</v>
      </c>
      <c r="AA1" s="3">
        <v>2031</v>
      </c>
      <c r="AB1" s="3">
        <v>2032</v>
      </c>
      <c r="AC1" s="3">
        <v>2033</v>
      </c>
      <c r="AD1" s="3">
        <v>2034</v>
      </c>
      <c r="AE1" s="3">
        <v>2035</v>
      </c>
      <c r="AF1" s="3">
        <v>2036</v>
      </c>
    </row>
    <row r="2" spans="1:32" s="4" customFormat="1" ht="15" customHeight="1" x14ac:dyDescent="0.25">
      <c r="A2" s="8" t="s">
        <v>20</v>
      </c>
      <c r="B2" s="8" t="s">
        <v>21</v>
      </c>
      <c r="C2" s="9" t="s">
        <v>23</v>
      </c>
    </row>
    <row r="3" spans="1:32" ht="15" customHeight="1" x14ac:dyDescent="0.25">
      <c r="A3" s="10" t="s">
        <v>27</v>
      </c>
      <c r="B3" s="2" t="s">
        <v>11</v>
      </c>
      <c r="C3" s="11" t="s">
        <v>0</v>
      </c>
      <c r="D3" s="1">
        <v>46490</v>
      </c>
      <c r="E3" s="1">
        <v>45970</v>
      </c>
      <c r="F3" s="1">
        <v>45360</v>
      </c>
      <c r="G3" s="1">
        <v>44100</v>
      </c>
      <c r="H3" s="1">
        <v>42900</v>
      </c>
      <c r="I3" s="1">
        <v>41693</v>
      </c>
      <c r="J3" s="1">
        <v>41553</v>
      </c>
      <c r="K3" s="1">
        <v>41717</v>
      </c>
      <c r="L3" s="1">
        <v>42355</v>
      </c>
      <c r="M3" s="1">
        <v>43563</v>
      </c>
      <c r="N3" s="1">
        <v>45169</v>
      </c>
      <c r="O3" s="1">
        <v>46055</v>
      </c>
      <c r="P3" s="1">
        <v>46427</v>
      </c>
      <c r="Q3" s="1">
        <v>46677</v>
      </c>
      <c r="R3" s="1">
        <v>46714</v>
      </c>
      <c r="S3" s="1">
        <v>47550</v>
      </c>
      <c r="T3" s="1">
        <v>47886</v>
      </c>
      <c r="U3" s="1">
        <v>48027</v>
      </c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</row>
    <row r="4" spans="1:32" ht="15" customHeight="1" x14ac:dyDescent="0.25">
      <c r="C4" s="11" t="s">
        <v>1</v>
      </c>
      <c r="D4" s="1">
        <v>78392</v>
      </c>
      <c r="E4" s="1">
        <v>76313</v>
      </c>
      <c r="F4" s="1">
        <v>74009</v>
      </c>
      <c r="G4" s="1">
        <v>70880</v>
      </c>
      <c r="H4" s="1">
        <v>68362</v>
      </c>
      <c r="I4" s="1">
        <v>66577</v>
      </c>
      <c r="J4" s="1">
        <v>65271</v>
      </c>
      <c r="K4" s="1">
        <v>64561</v>
      </c>
      <c r="L4" s="1">
        <v>64393</v>
      </c>
      <c r="M4" s="1">
        <v>64266</v>
      </c>
      <c r="N4" s="1">
        <v>64411</v>
      </c>
      <c r="O4" s="1">
        <v>64157</v>
      </c>
      <c r="P4" s="1">
        <v>64157</v>
      </c>
      <c r="Q4" s="1">
        <v>63622</v>
      </c>
      <c r="R4" s="1">
        <v>62894</v>
      </c>
      <c r="S4" s="1">
        <v>60434</v>
      </c>
      <c r="T4" s="1">
        <v>60139</v>
      </c>
      <c r="U4" s="1">
        <v>59882</v>
      </c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</row>
    <row r="5" spans="1:32" ht="15" customHeight="1" x14ac:dyDescent="0.25">
      <c r="C5" s="11" t="s">
        <v>2</v>
      </c>
      <c r="D5" s="1">
        <v>122232</v>
      </c>
      <c r="E5" s="1">
        <v>120465</v>
      </c>
      <c r="F5" s="1">
        <v>116956</v>
      </c>
      <c r="G5" s="1">
        <v>111656</v>
      </c>
      <c r="H5" s="1">
        <v>107123</v>
      </c>
      <c r="I5" s="1">
        <v>104020</v>
      </c>
      <c r="J5" s="1">
        <v>102256</v>
      </c>
      <c r="K5" s="1">
        <v>101129</v>
      </c>
      <c r="L5" s="1">
        <v>100479</v>
      </c>
      <c r="M5" s="1">
        <v>100052</v>
      </c>
      <c r="N5" s="1">
        <v>99115</v>
      </c>
      <c r="O5" s="1">
        <v>97568</v>
      </c>
      <c r="P5" s="1">
        <v>96512</v>
      </c>
      <c r="Q5" s="1">
        <v>93631</v>
      </c>
      <c r="R5" s="1">
        <v>91871</v>
      </c>
      <c r="S5" s="1">
        <v>93206</v>
      </c>
      <c r="T5" s="19">
        <f>AVERAGE(S5,U5)</f>
        <v>95185.5</v>
      </c>
      <c r="U5" s="1">
        <v>97165</v>
      </c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</row>
    <row r="6" spans="1:32" ht="15" customHeight="1" x14ac:dyDescent="0.25">
      <c r="A6" s="10" t="s">
        <v>27</v>
      </c>
      <c r="B6" s="2" t="s">
        <v>13</v>
      </c>
      <c r="C6" s="11" t="s">
        <v>0</v>
      </c>
      <c r="D6" s="1">
        <v>50350</v>
      </c>
      <c r="E6" s="1">
        <v>49370</v>
      </c>
      <c r="F6" s="1">
        <v>48310</v>
      </c>
      <c r="G6" s="1">
        <v>46680</v>
      </c>
      <c r="H6" s="1">
        <v>44885</v>
      </c>
      <c r="I6" s="1">
        <v>43639</v>
      </c>
      <c r="J6" s="1">
        <v>43137</v>
      </c>
      <c r="K6" s="1">
        <v>43075</v>
      </c>
      <c r="L6" s="1">
        <v>43499</v>
      </c>
      <c r="M6" s="1">
        <v>44308</v>
      </c>
      <c r="N6" s="1">
        <v>45053</v>
      </c>
      <c r="O6" s="1">
        <v>45292</v>
      </c>
      <c r="P6" s="1">
        <v>45307</v>
      </c>
      <c r="Q6" s="1">
        <v>44861</v>
      </c>
      <c r="R6" s="1">
        <v>44632</v>
      </c>
      <c r="S6" s="1">
        <v>45834</v>
      </c>
      <c r="T6" s="1">
        <v>46341</v>
      </c>
      <c r="U6" s="1">
        <v>46132</v>
      </c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</row>
    <row r="7" spans="1:32" ht="15" customHeight="1" x14ac:dyDescent="0.25">
      <c r="C7" s="11" t="s">
        <v>1</v>
      </c>
      <c r="D7" s="1">
        <v>86948</v>
      </c>
      <c r="E7" s="1">
        <v>84858</v>
      </c>
      <c r="F7" s="1">
        <v>82049</v>
      </c>
      <c r="G7" s="1">
        <v>78141</v>
      </c>
      <c r="H7" s="1">
        <v>75062</v>
      </c>
      <c r="I7" s="1">
        <v>72654</v>
      </c>
      <c r="J7" s="1">
        <v>70841</v>
      </c>
      <c r="K7" s="1">
        <v>69573</v>
      </c>
      <c r="L7" s="1">
        <v>69529</v>
      </c>
      <c r="M7" s="1">
        <v>69284</v>
      </c>
      <c r="N7" s="1">
        <v>68797</v>
      </c>
      <c r="O7" s="1">
        <v>68254</v>
      </c>
      <c r="P7" s="1">
        <v>67749</v>
      </c>
      <c r="Q7" s="1">
        <v>66825</v>
      </c>
      <c r="R7" s="1">
        <v>65253</v>
      </c>
      <c r="S7" s="1">
        <v>65158</v>
      </c>
      <c r="T7" s="1">
        <v>63898</v>
      </c>
      <c r="U7" s="1">
        <v>62734</v>
      </c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spans="1:32" ht="15" customHeight="1" x14ac:dyDescent="0.25">
      <c r="C8" s="11" t="s">
        <v>2</v>
      </c>
      <c r="D8" s="1">
        <v>134585</v>
      </c>
      <c r="E8" s="1">
        <v>132192</v>
      </c>
      <c r="F8" s="1">
        <v>128384</v>
      </c>
      <c r="G8" s="1">
        <v>121685</v>
      </c>
      <c r="H8" s="1">
        <v>116577</v>
      </c>
      <c r="I8" s="1">
        <v>113491</v>
      </c>
      <c r="J8" s="1">
        <v>111532</v>
      </c>
      <c r="K8" s="1">
        <v>109990</v>
      </c>
      <c r="L8" s="1">
        <v>109489</v>
      </c>
      <c r="M8" s="1">
        <v>108774</v>
      </c>
      <c r="N8" s="1">
        <v>107294</v>
      </c>
      <c r="O8" s="1">
        <v>105221</v>
      </c>
      <c r="P8" s="1">
        <v>103440</v>
      </c>
      <c r="Q8" s="1">
        <v>100431</v>
      </c>
      <c r="R8" s="1">
        <v>97623</v>
      </c>
      <c r="S8" s="1">
        <v>96817</v>
      </c>
      <c r="T8" s="19">
        <f>AVERAGE(S8,U8)</f>
        <v>95800.5</v>
      </c>
      <c r="U8" s="1">
        <v>94784</v>
      </c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spans="1:32" ht="15" customHeight="1" x14ac:dyDescent="0.25">
      <c r="A9" s="10" t="s">
        <v>28</v>
      </c>
      <c r="B9" s="2" t="s">
        <v>11</v>
      </c>
      <c r="C9" s="11" t="s">
        <v>0</v>
      </c>
      <c r="D9" s="1">
        <v>42940</v>
      </c>
      <c r="E9" s="1">
        <v>43370</v>
      </c>
      <c r="F9" s="1">
        <v>43640</v>
      </c>
      <c r="G9" s="1">
        <v>43770</v>
      </c>
      <c r="H9" s="1">
        <v>44146</v>
      </c>
      <c r="I9" s="1">
        <v>44243</v>
      </c>
      <c r="J9" s="1">
        <v>43966</v>
      </c>
      <c r="K9" s="1">
        <v>43457</v>
      </c>
      <c r="L9" s="1">
        <v>41991</v>
      </c>
      <c r="M9" s="1">
        <v>41056</v>
      </c>
      <c r="N9" s="1">
        <v>40263</v>
      </c>
      <c r="O9" s="1">
        <v>40588</v>
      </c>
      <c r="P9" s="1">
        <v>41120</v>
      </c>
      <c r="Q9" s="1">
        <v>42241</v>
      </c>
      <c r="R9" s="1">
        <v>43700</v>
      </c>
      <c r="S9" s="1">
        <v>45608</v>
      </c>
      <c r="T9" s="1">
        <v>46318</v>
      </c>
      <c r="U9" s="1">
        <v>46471</v>
      </c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</row>
    <row r="10" spans="1:32" ht="15" customHeight="1" x14ac:dyDescent="0.25">
      <c r="C10" s="11" t="s">
        <v>1</v>
      </c>
      <c r="D10" s="1">
        <v>67739</v>
      </c>
      <c r="E10" s="1">
        <v>69641</v>
      </c>
      <c r="F10" s="1">
        <v>70320</v>
      </c>
      <c r="G10" s="1">
        <v>70695</v>
      </c>
      <c r="H10" s="1">
        <v>71476</v>
      </c>
      <c r="I10" s="1">
        <v>71159</v>
      </c>
      <c r="J10" s="1">
        <v>69665</v>
      </c>
      <c r="K10" s="1">
        <v>68443</v>
      </c>
      <c r="L10" s="1">
        <v>66203</v>
      </c>
      <c r="M10" s="1">
        <v>63918</v>
      </c>
      <c r="N10" s="1">
        <v>62193</v>
      </c>
      <c r="O10" s="1">
        <v>61191</v>
      </c>
      <c r="P10" s="1">
        <v>60656</v>
      </c>
      <c r="Q10" s="1">
        <v>60765</v>
      </c>
      <c r="R10" s="1">
        <v>61275</v>
      </c>
      <c r="S10" s="1">
        <v>61077</v>
      </c>
      <c r="T10" s="1">
        <v>61022</v>
      </c>
      <c r="U10" s="1">
        <v>61077</v>
      </c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</row>
    <row r="11" spans="1:32" ht="15" customHeight="1" x14ac:dyDescent="0.25">
      <c r="C11" s="11" t="s">
        <v>2</v>
      </c>
      <c r="D11" s="1">
        <v>96444</v>
      </c>
      <c r="E11" s="1">
        <v>101167</v>
      </c>
      <c r="F11" s="1">
        <v>104849</v>
      </c>
      <c r="G11" s="1">
        <v>107324</v>
      </c>
      <c r="H11" s="1">
        <v>110480</v>
      </c>
      <c r="I11" s="1">
        <v>111567</v>
      </c>
      <c r="J11" s="1">
        <v>110418</v>
      </c>
      <c r="K11" s="1">
        <v>108696</v>
      </c>
      <c r="L11" s="1">
        <v>105685</v>
      </c>
      <c r="M11" s="1">
        <v>102196</v>
      </c>
      <c r="N11" s="1">
        <v>99432</v>
      </c>
      <c r="O11" s="1">
        <v>98319</v>
      </c>
      <c r="P11" s="1">
        <v>98124</v>
      </c>
      <c r="Q11" s="1">
        <v>97747</v>
      </c>
      <c r="R11" s="1">
        <v>98385</v>
      </c>
      <c r="S11" s="1">
        <v>99331</v>
      </c>
      <c r="T11" s="1">
        <v>99459</v>
      </c>
      <c r="U11" s="1">
        <v>97989</v>
      </c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</row>
    <row r="12" spans="1:32" ht="15" customHeight="1" x14ac:dyDescent="0.25">
      <c r="A12" s="10" t="s">
        <v>28</v>
      </c>
      <c r="B12" s="2" t="s">
        <v>13</v>
      </c>
      <c r="C12" s="11" t="s">
        <v>0</v>
      </c>
      <c r="D12" s="1">
        <v>49670</v>
      </c>
      <c r="E12" s="1">
        <v>49850</v>
      </c>
      <c r="F12" s="1">
        <v>49660</v>
      </c>
      <c r="G12" s="1">
        <v>49420</v>
      </c>
      <c r="H12" s="1">
        <v>49414</v>
      </c>
      <c r="I12" s="1">
        <v>48897</v>
      </c>
      <c r="J12" s="1">
        <v>47982</v>
      </c>
      <c r="K12" s="1">
        <v>46956</v>
      </c>
      <c r="L12" s="1">
        <v>45243</v>
      </c>
      <c r="M12" s="1">
        <v>43622</v>
      </c>
      <c r="N12" s="1">
        <v>42678</v>
      </c>
      <c r="O12" s="1">
        <v>42517</v>
      </c>
      <c r="P12" s="1">
        <v>42693</v>
      </c>
      <c r="Q12" s="1">
        <v>43296</v>
      </c>
      <c r="R12" s="1">
        <v>44298</v>
      </c>
      <c r="S12" s="1">
        <v>46160</v>
      </c>
      <c r="T12" s="1">
        <v>46811</v>
      </c>
      <c r="U12" s="1">
        <v>46921</v>
      </c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</row>
    <row r="13" spans="1:32" ht="15" customHeight="1" x14ac:dyDescent="0.25">
      <c r="C13" s="11" t="s">
        <v>1</v>
      </c>
      <c r="D13" s="1">
        <v>79866</v>
      </c>
      <c r="E13" s="1">
        <v>81399</v>
      </c>
      <c r="F13" s="1">
        <v>81909</v>
      </c>
      <c r="G13" s="1">
        <v>82148</v>
      </c>
      <c r="H13" s="1">
        <v>82429</v>
      </c>
      <c r="I13" s="1">
        <v>81831</v>
      </c>
      <c r="J13" s="1">
        <v>80335</v>
      </c>
      <c r="K13" s="1">
        <v>78170</v>
      </c>
      <c r="L13" s="1">
        <v>74667</v>
      </c>
      <c r="M13" s="1">
        <v>71937</v>
      </c>
      <c r="N13" s="1">
        <v>69692</v>
      </c>
      <c r="O13" s="1">
        <v>68068</v>
      </c>
      <c r="P13" s="1">
        <v>67059</v>
      </c>
      <c r="Q13" s="1">
        <v>67333</v>
      </c>
      <c r="R13" s="1">
        <v>67428</v>
      </c>
      <c r="S13" s="1">
        <v>68256</v>
      </c>
      <c r="T13" s="1">
        <v>67814</v>
      </c>
      <c r="U13" s="1">
        <v>67306</v>
      </c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1:32" ht="15" customHeight="1" x14ac:dyDescent="0.25">
      <c r="C14" s="11" t="s">
        <v>2</v>
      </c>
      <c r="D14" s="1">
        <v>111325</v>
      </c>
      <c r="E14" s="1">
        <v>116663</v>
      </c>
      <c r="F14" s="1">
        <v>121351</v>
      </c>
      <c r="G14" s="1">
        <v>123817</v>
      </c>
      <c r="H14" s="1">
        <v>126795</v>
      </c>
      <c r="I14" s="1">
        <v>127573</v>
      </c>
      <c r="J14" s="1">
        <v>125467</v>
      </c>
      <c r="K14" s="1">
        <v>122408</v>
      </c>
      <c r="L14" s="1">
        <v>118032</v>
      </c>
      <c r="M14" s="1">
        <v>113584</v>
      </c>
      <c r="N14" s="1">
        <v>110638</v>
      </c>
      <c r="O14" s="1">
        <v>108951</v>
      </c>
      <c r="P14" s="1">
        <v>107694</v>
      </c>
      <c r="Q14" s="1">
        <v>108319</v>
      </c>
      <c r="R14" s="1">
        <v>107927</v>
      </c>
      <c r="S14" s="1">
        <v>107604</v>
      </c>
      <c r="T14" s="1">
        <v>105861</v>
      </c>
      <c r="U14" s="1">
        <v>104208</v>
      </c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</row>
    <row r="15" spans="1:32" ht="15" customHeight="1" x14ac:dyDescent="0.25">
      <c r="A15" s="10" t="s">
        <v>29</v>
      </c>
      <c r="B15" s="2" t="s">
        <v>11</v>
      </c>
      <c r="C15" s="11" t="s">
        <v>0</v>
      </c>
      <c r="D15" s="1">
        <v>38920</v>
      </c>
      <c r="E15" s="1">
        <v>38980</v>
      </c>
      <c r="F15" s="1">
        <v>38910</v>
      </c>
      <c r="G15" s="1">
        <v>39600</v>
      </c>
      <c r="H15" s="1">
        <v>39819</v>
      </c>
      <c r="I15" s="1">
        <v>40131</v>
      </c>
      <c r="J15" s="1">
        <v>40624</v>
      </c>
      <c r="K15" s="1">
        <v>41007</v>
      </c>
      <c r="L15" s="1">
        <v>40928</v>
      </c>
      <c r="M15" s="1">
        <v>41279</v>
      </c>
      <c r="N15" s="1">
        <v>41770</v>
      </c>
      <c r="O15" s="1">
        <v>41833</v>
      </c>
      <c r="P15" s="1">
        <v>41599</v>
      </c>
      <c r="Q15" s="1">
        <v>40735</v>
      </c>
      <c r="R15" s="1">
        <v>40122</v>
      </c>
      <c r="S15" s="1">
        <v>39645</v>
      </c>
      <c r="T15" s="1">
        <v>39939</v>
      </c>
      <c r="U15" s="1">
        <v>40210</v>
      </c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</row>
    <row r="16" spans="1:32" ht="15" customHeight="1" x14ac:dyDescent="0.25">
      <c r="C16" s="11" t="s">
        <v>1</v>
      </c>
      <c r="D16" s="1">
        <v>59161</v>
      </c>
      <c r="E16" s="1">
        <v>58360</v>
      </c>
      <c r="F16" s="1">
        <v>57936</v>
      </c>
      <c r="G16" s="1">
        <v>58427</v>
      </c>
      <c r="H16" s="1">
        <v>58801</v>
      </c>
      <c r="I16" s="1">
        <v>60457</v>
      </c>
      <c r="J16" s="1">
        <v>62715</v>
      </c>
      <c r="K16" s="1">
        <v>63999</v>
      </c>
      <c r="L16" s="1">
        <v>64872</v>
      </c>
      <c r="M16" s="1">
        <v>65686</v>
      </c>
      <c r="N16" s="1">
        <v>65401</v>
      </c>
      <c r="O16" s="1">
        <v>64246</v>
      </c>
      <c r="P16" s="1">
        <v>63178</v>
      </c>
      <c r="Q16" s="1">
        <v>61409</v>
      </c>
      <c r="R16" s="1">
        <v>59520</v>
      </c>
      <c r="S16" s="1">
        <v>58253</v>
      </c>
      <c r="T16" s="1">
        <v>57573</v>
      </c>
      <c r="U16" s="1">
        <v>57334</v>
      </c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</row>
    <row r="17" spans="1:32" ht="15" customHeight="1" x14ac:dyDescent="0.25">
      <c r="C17" s="11" t="s">
        <v>2</v>
      </c>
      <c r="D17" s="1">
        <v>83465</v>
      </c>
      <c r="E17" s="1">
        <v>83184</v>
      </c>
      <c r="F17" s="1">
        <v>82608</v>
      </c>
      <c r="G17" s="1">
        <v>82796</v>
      </c>
      <c r="H17" s="1">
        <v>83510</v>
      </c>
      <c r="I17" s="1">
        <v>86305</v>
      </c>
      <c r="J17" s="1">
        <v>91379</v>
      </c>
      <c r="K17" s="1">
        <v>95763</v>
      </c>
      <c r="L17" s="1">
        <v>99361</v>
      </c>
      <c r="M17" s="1">
        <v>103039</v>
      </c>
      <c r="N17" s="1">
        <v>104409</v>
      </c>
      <c r="O17" s="1">
        <v>103817</v>
      </c>
      <c r="P17" s="1">
        <v>102927</v>
      </c>
      <c r="Q17" s="1">
        <v>101687</v>
      </c>
      <c r="R17" s="1">
        <v>98930</v>
      </c>
      <c r="S17" s="1">
        <v>97036</v>
      </c>
      <c r="T17" s="1">
        <v>96583</v>
      </c>
      <c r="U17" s="1">
        <v>95956</v>
      </c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</row>
    <row r="18" spans="1:32" ht="15" customHeight="1" x14ac:dyDescent="0.25">
      <c r="A18" s="10" t="s">
        <v>29</v>
      </c>
      <c r="B18" s="2" t="s">
        <v>13</v>
      </c>
      <c r="C18" s="11" t="s">
        <v>0</v>
      </c>
      <c r="D18" s="1">
        <v>48640</v>
      </c>
      <c r="E18" s="1">
        <v>48360</v>
      </c>
      <c r="F18" s="1">
        <v>48020</v>
      </c>
      <c r="G18" s="1">
        <v>48500</v>
      </c>
      <c r="H18" s="1">
        <v>48350</v>
      </c>
      <c r="I18" s="1">
        <v>48211</v>
      </c>
      <c r="J18" s="1">
        <v>48340</v>
      </c>
      <c r="K18" s="1">
        <v>48243</v>
      </c>
      <c r="L18" s="1">
        <v>47800</v>
      </c>
      <c r="M18" s="1">
        <v>47827</v>
      </c>
      <c r="N18" s="1">
        <v>47508</v>
      </c>
      <c r="O18" s="1">
        <v>46886</v>
      </c>
      <c r="P18" s="1">
        <v>46041</v>
      </c>
      <c r="Q18" s="1">
        <v>44831</v>
      </c>
      <c r="R18" s="1">
        <v>43442</v>
      </c>
      <c r="S18" s="1">
        <v>43370</v>
      </c>
      <c r="T18" s="1">
        <v>43454</v>
      </c>
      <c r="U18" s="1">
        <v>43496</v>
      </c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</row>
    <row r="19" spans="1:32" ht="15" customHeight="1" x14ac:dyDescent="0.25">
      <c r="C19" s="11" t="s">
        <v>1</v>
      </c>
      <c r="D19" s="1">
        <v>76293</v>
      </c>
      <c r="E19" s="1">
        <v>75090</v>
      </c>
      <c r="F19" s="1">
        <v>73921</v>
      </c>
      <c r="G19" s="1">
        <v>74277</v>
      </c>
      <c r="H19" s="1">
        <v>74242</v>
      </c>
      <c r="I19" s="1">
        <v>75098</v>
      </c>
      <c r="J19" s="1">
        <v>76895</v>
      </c>
      <c r="K19" s="1">
        <v>77823</v>
      </c>
      <c r="L19" s="1">
        <v>78509</v>
      </c>
      <c r="M19" s="1">
        <v>78888</v>
      </c>
      <c r="N19" s="1">
        <v>78545</v>
      </c>
      <c r="O19" s="1">
        <v>77162</v>
      </c>
      <c r="P19" s="1">
        <v>75104</v>
      </c>
      <c r="Q19" s="1">
        <v>72108</v>
      </c>
      <c r="R19" s="1">
        <v>69710</v>
      </c>
      <c r="S19" s="1">
        <v>69061</v>
      </c>
      <c r="T19" s="1">
        <v>67641</v>
      </c>
      <c r="U19" s="1">
        <v>66613</v>
      </c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</row>
    <row r="20" spans="1:32" ht="15" customHeight="1" x14ac:dyDescent="0.25">
      <c r="C20" s="11" t="s">
        <v>2</v>
      </c>
      <c r="D20" s="1">
        <v>104333</v>
      </c>
      <c r="E20" s="1">
        <v>103649</v>
      </c>
      <c r="F20" s="1">
        <v>102307</v>
      </c>
      <c r="G20" s="1">
        <v>102162</v>
      </c>
      <c r="H20" s="1">
        <v>102883</v>
      </c>
      <c r="I20" s="1">
        <v>105307</v>
      </c>
      <c r="J20" s="1">
        <v>110725</v>
      </c>
      <c r="K20" s="1">
        <v>115518</v>
      </c>
      <c r="L20" s="1">
        <v>119526</v>
      </c>
      <c r="M20" s="1">
        <v>123087</v>
      </c>
      <c r="N20" s="1">
        <v>123933</v>
      </c>
      <c r="O20" s="1">
        <v>122205</v>
      </c>
      <c r="P20" s="1">
        <v>119498</v>
      </c>
      <c r="Q20" s="1">
        <v>116887</v>
      </c>
      <c r="R20" s="1">
        <v>113102</v>
      </c>
      <c r="S20" s="1">
        <v>111014</v>
      </c>
      <c r="T20" s="1">
        <v>109657</v>
      </c>
      <c r="U20" s="1">
        <v>108456</v>
      </c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</row>
    <row r="21" spans="1:32" ht="15" customHeight="1" x14ac:dyDescent="0.25">
      <c r="A21" s="10" t="s">
        <v>30</v>
      </c>
      <c r="B21" s="2" t="s">
        <v>11</v>
      </c>
      <c r="C21" s="11" t="s">
        <v>0</v>
      </c>
      <c r="D21" s="1">
        <v>28060</v>
      </c>
      <c r="E21" s="1">
        <v>29890</v>
      </c>
      <c r="F21" s="1">
        <v>32150</v>
      </c>
      <c r="G21" s="1">
        <v>33870</v>
      </c>
      <c r="H21" s="1">
        <v>34754</v>
      </c>
      <c r="I21" s="1">
        <v>35155</v>
      </c>
      <c r="J21" s="1">
        <v>35311</v>
      </c>
      <c r="K21" s="1">
        <v>35436</v>
      </c>
      <c r="L21" s="1">
        <v>36463</v>
      </c>
      <c r="M21" s="1">
        <v>36759</v>
      </c>
      <c r="N21" s="1">
        <v>37181</v>
      </c>
      <c r="O21" s="1">
        <v>37809</v>
      </c>
      <c r="P21" s="1">
        <v>38391</v>
      </c>
      <c r="Q21" s="1">
        <v>38599</v>
      </c>
      <c r="R21" s="1">
        <v>39044</v>
      </c>
      <c r="S21" s="1">
        <v>39870</v>
      </c>
      <c r="T21" s="1">
        <v>39987</v>
      </c>
      <c r="U21" s="1">
        <v>39653</v>
      </c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</row>
    <row r="22" spans="1:32" ht="15" customHeight="1" x14ac:dyDescent="0.25">
      <c r="C22" s="11" t="s">
        <v>1</v>
      </c>
      <c r="D22" s="1">
        <v>45702</v>
      </c>
      <c r="E22" s="1">
        <v>46268</v>
      </c>
      <c r="F22" s="1">
        <v>47838</v>
      </c>
      <c r="G22" s="1">
        <v>49557</v>
      </c>
      <c r="H22" s="1">
        <v>51130</v>
      </c>
      <c r="I22" s="1">
        <v>51510</v>
      </c>
      <c r="J22" s="1">
        <v>51120</v>
      </c>
      <c r="K22" s="1">
        <v>51131</v>
      </c>
      <c r="L22" s="1">
        <v>51956</v>
      </c>
      <c r="M22" s="1">
        <v>52609</v>
      </c>
      <c r="N22" s="1">
        <v>54198</v>
      </c>
      <c r="O22" s="1">
        <v>56322</v>
      </c>
      <c r="P22" s="1">
        <v>57448</v>
      </c>
      <c r="Q22" s="1">
        <v>58392</v>
      </c>
      <c r="R22" s="1">
        <v>59254</v>
      </c>
      <c r="S22" s="1">
        <v>60076</v>
      </c>
      <c r="T22" s="1">
        <v>59121</v>
      </c>
      <c r="U22" s="1">
        <v>58191</v>
      </c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</row>
    <row r="23" spans="1:32" ht="15" customHeight="1" x14ac:dyDescent="0.25">
      <c r="C23" s="11" t="s">
        <v>2</v>
      </c>
      <c r="D23" s="1">
        <v>64612</v>
      </c>
      <c r="E23" s="1">
        <v>64457</v>
      </c>
      <c r="F23" s="1">
        <v>67388</v>
      </c>
      <c r="G23" s="1">
        <v>68523</v>
      </c>
      <c r="H23" s="1">
        <v>70741</v>
      </c>
      <c r="I23" s="1">
        <v>72884</v>
      </c>
      <c r="J23" s="1">
        <v>73400</v>
      </c>
      <c r="K23" s="1">
        <v>73744</v>
      </c>
      <c r="L23" s="1">
        <v>75059</v>
      </c>
      <c r="M23" s="1">
        <v>76332</v>
      </c>
      <c r="N23" s="1">
        <v>79304</v>
      </c>
      <c r="O23" s="1">
        <v>84215</v>
      </c>
      <c r="P23" s="1">
        <v>88688</v>
      </c>
      <c r="Q23" s="1">
        <v>92818</v>
      </c>
      <c r="R23" s="1">
        <v>96792</v>
      </c>
      <c r="S23" s="1">
        <v>98908</v>
      </c>
      <c r="T23" s="1">
        <v>98858</v>
      </c>
      <c r="U23" s="1">
        <v>97773</v>
      </c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</row>
    <row r="24" spans="1:32" ht="15" customHeight="1" x14ac:dyDescent="0.25">
      <c r="A24" s="10" t="s">
        <v>30</v>
      </c>
      <c r="B24" s="2" t="s">
        <v>13</v>
      </c>
      <c r="C24" s="11" t="s">
        <v>0</v>
      </c>
      <c r="D24" s="1">
        <v>38040</v>
      </c>
      <c r="E24" s="1">
        <v>40540</v>
      </c>
      <c r="F24" s="1">
        <v>43390</v>
      </c>
      <c r="G24" s="1">
        <v>45650</v>
      </c>
      <c r="H24" s="1">
        <v>46709</v>
      </c>
      <c r="I24" s="1">
        <v>47065</v>
      </c>
      <c r="J24" s="1">
        <v>46821</v>
      </c>
      <c r="K24" s="1">
        <v>46485</v>
      </c>
      <c r="L24" s="1">
        <v>47047</v>
      </c>
      <c r="M24" s="1">
        <v>46886</v>
      </c>
      <c r="N24" s="1">
        <v>46963</v>
      </c>
      <c r="O24" s="1">
        <v>47297</v>
      </c>
      <c r="P24" s="1">
        <v>47345</v>
      </c>
      <c r="Q24" s="1">
        <v>47240</v>
      </c>
      <c r="R24" s="1">
        <v>47490</v>
      </c>
      <c r="S24" s="1">
        <v>47943</v>
      </c>
      <c r="T24" s="1">
        <v>47496</v>
      </c>
      <c r="U24" s="1">
        <v>46642</v>
      </c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</row>
    <row r="25" spans="1:32" ht="15" customHeight="1" x14ac:dyDescent="0.25">
      <c r="C25" s="11" t="s">
        <v>1</v>
      </c>
      <c r="D25" s="1">
        <v>64634</v>
      </c>
      <c r="E25" s="1">
        <v>65198</v>
      </c>
      <c r="F25" s="1">
        <v>67670</v>
      </c>
      <c r="G25" s="1">
        <v>69621</v>
      </c>
      <c r="H25" s="1">
        <v>71433</v>
      </c>
      <c r="I25" s="1">
        <v>71864</v>
      </c>
      <c r="J25" s="1">
        <v>70929</v>
      </c>
      <c r="K25" s="1">
        <v>70010</v>
      </c>
      <c r="L25" s="1">
        <v>70529</v>
      </c>
      <c r="M25" s="1">
        <v>70804</v>
      </c>
      <c r="N25" s="1">
        <v>71699</v>
      </c>
      <c r="O25" s="1">
        <v>73417</v>
      </c>
      <c r="P25" s="1">
        <v>74399</v>
      </c>
      <c r="Q25" s="1">
        <v>75130</v>
      </c>
      <c r="R25" s="1">
        <v>75596</v>
      </c>
      <c r="S25" s="1">
        <v>77172</v>
      </c>
      <c r="T25" s="1">
        <v>76032</v>
      </c>
      <c r="U25" s="1">
        <v>74042</v>
      </c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</row>
    <row r="26" spans="1:32" ht="15" customHeight="1" x14ac:dyDescent="0.25">
      <c r="C26" s="11" t="s">
        <v>2</v>
      </c>
      <c r="D26" s="1">
        <v>88949</v>
      </c>
      <c r="E26" s="1">
        <v>88561</v>
      </c>
      <c r="F26" s="1">
        <v>92845</v>
      </c>
      <c r="G26" s="1">
        <v>94094</v>
      </c>
      <c r="H26" s="1">
        <v>96998</v>
      </c>
      <c r="I26" s="1">
        <v>99310</v>
      </c>
      <c r="J26" s="1">
        <v>98886</v>
      </c>
      <c r="K26" s="1">
        <v>97897</v>
      </c>
      <c r="L26" s="1">
        <v>98450</v>
      </c>
      <c r="M26" s="1">
        <v>99441</v>
      </c>
      <c r="N26" s="1">
        <v>101997</v>
      </c>
      <c r="O26" s="1">
        <v>107456</v>
      </c>
      <c r="P26" s="1">
        <v>112343</v>
      </c>
      <c r="Q26" s="1">
        <v>117176</v>
      </c>
      <c r="R26" s="1">
        <v>121271</v>
      </c>
      <c r="S26" s="1">
        <v>123329</v>
      </c>
      <c r="T26" s="1">
        <v>121956</v>
      </c>
      <c r="U26" s="1">
        <v>119235</v>
      </c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</row>
    <row r="27" spans="1:32" ht="15" customHeight="1" x14ac:dyDescent="0.25">
      <c r="A27" s="2" t="s">
        <v>31</v>
      </c>
      <c r="B27" s="2" t="s">
        <v>11</v>
      </c>
      <c r="C27" s="11" t="s">
        <v>0</v>
      </c>
      <c r="D27" s="1">
        <v>28700</v>
      </c>
      <c r="E27" s="1">
        <v>27000</v>
      </c>
      <c r="F27" s="1">
        <v>25470</v>
      </c>
      <c r="G27" s="1">
        <v>24340</v>
      </c>
      <c r="H27" s="1">
        <v>23678</v>
      </c>
      <c r="I27" s="1">
        <v>24352</v>
      </c>
      <c r="J27" s="1">
        <v>26084</v>
      </c>
      <c r="K27" s="1">
        <v>28117</v>
      </c>
      <c r="L27" s="1">
        <v>29973</v>
      </c>
      <c r="M27" s="1">
        <v>30840</v>
      </c>
      <c r="N27" s="1">
        <v>31388</v>
      </c>
      <c r="O27" s="1">
        <v>31841</v>
      </c>
      <c r="P27" s="1">
        <v>32108</v>
      </c>
      <c r="Q27" s="1">
        <v>32965</v>
      </c>
      <c r="R27" s="1">
        <v>33234</v>
      </c>
      <c r="S27" s="1">
        <v>33840</v>
      </c>
      <c r="T27" s="1">
        <v>34651</v>
      </c>
      <c r="U27" s="1">
        <v>35263</v>
      </c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</row>
    <row r="28" spans="1:32" ht="15" customHeight="1" x14ac:dyDescent="0.25">
      <c r="C28" s="11" t="s">
        <v>1</v>
      </c>
      <c r="D28" s="1">
        <v>48548</v>
      </c>
      <c r="E28" s="1">
        <v>46368</v>
      </c>
      <c r="F28" s="1">
        <v>43586</v>
      </c>
      <c r="G28" s="1">
        <v>40836</v>
      </c>
      <c r="H28" s="1">
        <v>38217</v>
      </c>
      <c r="I28" s="1">
        <v>37821</v>
      </c>
      <c r="J28" s="1">
        <v>38658</v>
      </c>
      <c r="K28" s="1">
        <v>40349</v>
      </c>
      <c r="L28" s="1">
        <v>42187</v>
      </c>
      <c r="M28" s="1">
        <v>43615</v>
      </c>
      <c r="N28" s="1">
        <v>44025</v>
      </c>
      <c r="O28" s="1">
        <v>43780</v>
      </c>
      <c r="P28" s="1">
        <v>43882</v>
      </c>
      <c r="Q28" s="1">
        <v>44750</v>
      </c>
      <c r="R28" s="1">
        <v>45217</v>
      </c>
      <c r="S28" s="1">
        <v>47707</v>
      </c>
      <c r="T28" s="1">
        <v>49870</v>
      </c>
      <c r="U28" s="1">
        <v>51020</v>
      </c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spans="1:32" ht="15" customHeight="1" x14ac:dyDescent="0.25">
      <c r="C29" s="11" t="s">
        <v>2</v>
      </c>
      <c r="D29" s="1">
        <v>65296</v>
      </c>
      <c r="E29" s="1">
        <v>63304</v>
      </c>
      <c r="F29" s="1">
        <v>60052</v>
      </c>
      <c r="G29" s="1">
        <v>58543</v>
      </c>
      <c r="H29" s="1">
        <v>55761</v>
      </c>
      <c r="I29" s="1">
        <v>53639</v>
      </c>
      <c r="J29" s="1">
        <v>53809</v>
      </c>
      <c r="K29" s="1">
        <v>56914</v>
      </c>
      <c r="L29" s="1">
        <v>58399</v>
      </c>
      <c r="M29" s="1">
        <v>60691</v>
      </c>
      <c r="N29" s="1">
        <v>62891</v>
      </c>
      <c r="O29" s="1">
        <v>63663</v>
      </c>
      <c r="P29" s="1">
        <v>64196</v>
      </c>
      <c r="Q29" s="1">
        <v>65526</v>
      </c>
      <c r="R29" s="1">
        <v>66858</v>
      </c>
      <c r="S29" s="1">
        <v>70598</v>
      </c>
      <c r="T29" s="1">
        <v>75526</v>
      </c>
      <c r="U29" s="1">
        <v>79928</v>
      </c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spans="1:32" ht="15" customHeight="1" x14ac:dyDescent="0.25">
      <c r="A30" s="2" t="s">
        <v>31</v>
      </c>
      <c r="B30" s="2" t="s">
        <v>13</v>
      </c>
      <c r="C30" s="11" t="s">
        <v>0</v>
      </c>
      <c r="D30" s="1">
        <v>44410</v>
      </c>
      <c r="E30" s="1">
        <v>41470</v>
      </c>
      <c r="F30" s="1">
        <v>38750</v>
      </c>
      <c r="G30" s="1">
        <v>36630</v>
      </c>
      <c r="H30" s="1">
        <v>35264</v>
      </c>
      <c r="I30" s="1">
        <v>36027</v>
      </c>
      <c r="J30" s="1">
        <v>38537</v>
      </c>
      <c r="K30" s="1">
        <v>41358</v>
      </c>
      <c r="L30" s="1">
        <v>43836</v>
      </c>
      <c r="M30" s="1">
        <v>45011</v>
      </c>
      <c r="N30" s="1">
        <v>45543</v>
      </c>
      <c r="O30" s="1">
        <v>45503</v>
      </c>
      <c r="P30" s="1">
        <v>45393</v>
      </c>
      <c r="Q30" s="1">
        <v>45966</v>
      </c>
      <c r="R30" s="1">
        <v>45831</v>
      </c>
      <c r="S30" s="1">
        <v>46586</v>
      </c>
      <c r="T30" s="1">
        <v>47246</v>
      </c>
      <c r="U30" s="1">
        <v>47537</v>
      </c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</row>
    <row r="31" spans="1:32" ht="15" customHeight="1" x14ac:dyDescent="0.25">
      <c r="C31" s="11" t="s">
        <v>1</v>
      </c>
      <c r="D31" s="1">
        <v>77807</v>
      </c>
      <c r="E31" s="1">
        <v>74373</v>
      </c>
      <c r="F31" s="1">
        <v>70263</v>
      </c>
      <c r="G31" s="1">
        <v>65686</v>
      </c>
      <c r="H31" s="1">
        <v>61632</v>
      </c>
      <c r="I31" s="1">
        <v>59991</v>
      </c>
      <c r="J31" s="1">
        <v>60593</v>
      </c>
      <c r="K31" s="1">
        <v>63150</v>
      </c>
      <c r="L31" s="1">
        <v>65230</v>
      </c>
      <c r="M31" s="1">
        <v>67017</v>
      </c>
      <c r="N31" s="1">
        <v>67530</v>
      </c>
      <c r="O31" s="1">
        <v>66689</v>
      </c>
      <c r="P31" s="1">
        <v>65922</v>
      </c>
      <c r="Q31" s="1">
        <v>66714</v>
      </c>
      <c r="R31" s="1">
        <v>67036</v>
      </c>
      <c r="S31" s="1">
        <v>69235</v>
      </c>
      <c r="T31" s="1">
        <v>70940</v>
      </c>
      <c r="U31" s="1">
        <v>71983</v>
      </c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</row>
    <row r="32" spans="1:32" ht="15" customHeight="1" x14ac:dyDescent="0.25">
      <c r="C32" s="11" t="s">
        <v>2</v>
      </c>
      <c r="D32" s="1">
        <v>99741</v>
      </c>
      <c r="E32" s="1">
        <v>97256</v>
      </c>
      <c r="F32" s="1">
        <v>92833</v>
      </c>
      <c r="G32" s="1">
        <v>90956</v>
      </c>
      <c r="H32" s="1">
        <v>86920</v>
      </c>
      <c r="I32" s="1">
        <v>83379</v>
      </c>
      <c r="J32" s="1">
        <v>83190</v>
      </c>
      <c r="K32" s="1">
        <v>87528</v>
      </c>
      <c r="L32" s="1">
        <v>88908</v>
      </c>
      <c r="M32" s="1">
        <v>91781</v>
      </c>
      <c r="N32" s="1">
        <v>94036</v>
      </c>
      <c r="O32" s="1">
        <v>93827</v>
      </c>
      <c r="P32" s="1">
        <v>92907</v>
      </c>
      <c r="Q32" s="1">
        <v>93500</v>
      </c>
      <c r="R32" s="1">
        <v>94867</v>
      </c>
      <c r="S32" s="1">
        <v>98613</v>
      </c>
      <c r="T32" s="1">
        <v>104603</v>
      </c>
      <c r="U32" s="1">
        <v>110028</v>
      </c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</row>
    <row r="33" spans="1:32" ht="15" customHeight="1" x14ac:dyDescent="0.25">
      <c r="A33" s="2" t="s">
        <v>32</v>
      </c>
      <c r="B33" s="2" t="s">
        <v>11</v>
      </c>
      <c r="C33" s="11" t="s">
        <v>0</v>
      </c>
      <c r="D33" s="1">
        <v>21630</v>
      </c>
      <c r="E33" s="1">
        <v>22320</v>
      </c>
      <c r="F33" s="1">
        <v>23200</v>
      </c>
      <c r="G33" s="1">
        <v>23390</v>
      </c>
      <c r="H33" s="1">
        <v>24021</v>
      </c>
      <c r="I33" s="1">
        <v>23498</v>
      </c>
      <c r="J33" s="1">
        <v>22243</v>
      </c>
      <c r="K33" s="1">
        <v>21058</v>
      </c>
      <c r="L33" s="1">
        <v>20131</v>
      </c>
      <c r="M33" s="1">
        <v>19800</v>
      </c>
      <c r="N33" s="1">
        <v>20531</v>
      </c>
      <c r="O33" s="1">
        <v>21967</v>
      </c>
      <c r="P33" s="1">
        <v>23816</v>
      </c>
      <c r="Q33" s="1">
        <v>25319</v>
      </c>
      <c r="R33" s="1">
        <v>25969</v>
      </c>
      <c r="S33" s="1">
        <v>26447</v>
      </c>
      <c r="T33" s="1">
        <v>26914</v>
      </c>
      <c r="U33" s="1">
        <v>27338</v>
      </c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</row>
    <row r="34" spans="1:32" ht="15" customHeight="1" x14ac:dyDescent="0.25">
      <c r="C34" s="11" t="s">
        <v>1</v>
      </c>
      <c r="D34" s="1">
        <v>34702</v>
      </c>
      <c r="E34" s="1">
        <v>36065</v>
      </c>
      <c r="F34" s="1">
        <v>37704</v>
      </c>
      <c r="G34" s="1">
        <v>38268</v>
      </c>
      <c r="H34" s="1">
        <v>38856</v>
      </c>
      <c r="I34" s="1">
        <v>37981</v>
      </c>
      <c r="J34" s="1">
        <v>36487</v>
      </c>
      <c r="K34" s="1">
        <v>34418</v>
      </c>
      <c r="L34" s="1">
        <v>32326</v>
      </c>
      <c r="M34" s="1">
        <v>30274</v>
      </c>
      <c r="N34" s="1">
        <v>30195</v>
      </c>
      <c r="O34" s="1">
        <v>31002</v>
      </c>
      <c r="P34" s="1">
        <v>32666</v>
      </c>
      <c r="Q34" s="1">
        <v>34143</v>
      </c>
      <c r="R34" s="1">
        <v>34981</v>
      </c>
      <c r="S34" s="1">
        <v>35595</v>
      </c>
      <c r="T34" s="1">
        <v>35602</v>
      </c>
      <c r="U34" s="1">
        <v>35896</v>
      </c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</row>
    <row r="35" spans="1:32" ht="15" customHeight="1" x14ac:dyDescent="0.25">
      <c r="C35" s="11" t="s">
        <v>2</v>
      </c>
      <c r="D35" s="1">
        <v>52723</v>
      </c>
      <c r="E35" s="1">
        <v>52865</v>
      </c>
      <c r="F35" s="1">
        <v>53156</v>
      </c>
      <c r="G35" s="1">
        <v>52750</v>
      </c>
      <c r="H35" s="1">
        <v>52158</v>
      </c>
      <c r="I35" s="1">
        <v>52154</v>
      </c>
      <c r="J35" s="1">
        <v>50608</v>
      </c>
      <c r="K35" s="1">
        <v>48056</v>
      </c>
      <c r="L35" s="1">
        <v>46884</v>
      </c>
      <c r="M35" s="1">
        <v>44703</v>
      </c>
      <c r="N35" s="1">
        <v>43144</v>
      </c>
      <c r="O35" s="1">
        <v>43507</v>
      </c>
      <c r="P35" s="1">
        <v>46407</v>
      </c>
      <c r="Q35" s="1">
        <v>49426</v>
      </c>
      <c r="R35" s="1">
        <v>50894</v>
      </c>
      <c r="S35" s="1">
        <v>52532</v>
      </c>
      <c r="T35" s="1">
        <v>53345</v>
      </c>
      <c r="U35" s="1">
        <v>54065</v>
      </c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</row>
    <row r="36" spans="1:32" ht="15" customHeight="1" x14ac:dyDescent="0.25">
      <c r="A36" s="2" t="s">
        <v>32</v>
      </c>
      <c r="B36" s="2" t="s">
        <v>13</v>
      </c>
      <c r="C36" s="11" t="s">
        <v>0</v>
      </c>
      <c r="D36" s="1">
        <v>38960</v>
      </c>
      <c r="E36" s="1">
        <v>40330</v>
      </c>
      <c r="F36" s="1">
        <v>41820</v>
      </c>
      <c r="G36" s="1">
        <v>42030</v>
      </c>
      <c r="H36" s="1">
        <v>42839</v>
      </c>
      <c r="I36" s="1">
        <v>41190</v>
      </c>
      <c r="J36" s="1">
        <v>38477</v>
      </c>
      <c r="K36" s="1">
        <v>35970</v>
      </c>
      <c r="L36" s="1">
        <v>34117</v>
      </c>
      <c r="M36" s="1">
        <v>32962</v>
      </c>
      <c r="N36" s="1">
        <v>33746</v>
      </c>
      <c r="O36" s="1">
        <v>36137</v>
      </c>
      <c r="P36" s="1">
        <v>38893</v>
      </c>
      <c r="Q36" s="1">
        <v>41100</v>
      </c>
      <c r="R36" s="1">
        <v>42148</v>
      </c>
      <c r="S36" s="1">
        <v>43025</v>
      </c>
      <c r="T36" s="1">
        <v>43285</v>
      </c>
      <c r="U36" s="1">
        <v>43337</v>
      </c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</row>
    <row r="37" spans="1:32" ht="15" customHeight="1" x14ac:dyDescent="0.25">
      <c r="C37" s="11" t="s">
        <v>1</v>
      </c>
      <c r="D37" s="1">
        <v>65291</v>
      </c>
      <c r="E37" s="1">
        <v>67258</v>
      </c>
      <c r="F37" s="1">
        <v>69853</v>
      </c>
      <c r="G37" s="1">
        <v>71052</v>
      </c>
      <c r="H37" s="1">
        <v>71606</v>
      </c>
      <c r="I37" s="1">
        <v>70188</v>
      </c>
      <c r="J37" s="1">
        <v>67202</v>
      </c>
      <c r="K37" s="1">
        <v>63605</v>
      </c>
      <c r="L37" s="1">
        <v>59545</v>
      </c>
      <c r="M37" s="1">
        <v>55967</v>
      </c>
      <c r="N37" s="1">
        <v>54535</v>
      </c>
      <c r="O37" s="1">
        <v>55230</v>
      </c>
      <c r="P37" s="1">
        <v>57704</v>
      </c>
      <c r="Q37" s="1">
        <v>59652</v>
      </c>
      <c r="R37" s="1">
        <v>61032</v>
      </c>
      <c r="S37" s="1">
        <v>62135</v>
      </c>
      <c r="T37" s="1">
        <v>61554</v>
      </c>
      <c r="U37" s="1">
        <v>61070</v>
      </c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</row>
    <row r="38" spans="1:32" ht="15" customHeight="1" x14ac:dyDescent="0.25">
      <c r="C38" s="11" t="s">
        <v>2</v>
      </c>
      <c r="D38" s="1">
        <v>92932</v>
      </c>
      <c r="E38" s="1">
        <v>93178</v>
      </c>
      <c r="F38" s="1">
        <v>93267</v>
      </c>
      <c r="G38" s="1">
        <v>92465</v>
      </c>
      <c r="H38" s="1">
        <v>91379</v>
      </c>
      <c r="I38" s="1">
        <v>90983</v>
      </c>
      <c r="J38" s="1">
        <v>88836</v>
      </c>
      <c r="K38" s="1">
        <v>84785</v>
      </c>
      <c r="L38" s="1">
        <v>83112</v>
      </c>
      <c r="M38" s="1">
        <v>79406</v>
      </c>
      <c r="N38" s="1">
        <v>76190</v>
      </c>
      <c r="O38" s="1">
        <v>76246</v>
      </c>
      <c r="P38" s="1">
        <v>80455</v>
      </c>
      <c r="Q38" s="1">
        <v>82581</v>
      </c>
      <c r="R38" s="1">
        <v>85010</v>
      </c>
      <c r="S38" s="1">
        <v>87559</v>
      </c>
      <c r="T38" s="1">
        <v>87612</v>
      </c>
      <c r="U38" s="1">
        <v>87127</v>
      </c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</row>
    <row r="39" spans="1:32" ht="15" customHeight="1" x14ac:dyDescent="0.25">
      <c r="A39" s="2" t="s">
        <v>33</v>
      </c>
      <c r="B39" s="2" t="s">
        <v>11</v>
      </c>
      <c r="C39" s="11" t="s">
        <v>0</v>
      </c>
      <c r="D39" s="1">
        <v>15920</v>
      </c>
      <c r="E39" s="1">
        <v>15670</v>
      </c>
      <c r="F39" s="1">
        <v>15390</v>
      </c>
      <c r="G39" s="1">
        <v>15300</v>
      </c>
      <c r="H39" s="1">
        <v>15572</v>
      </c>
      <c r="I39" s="1">
        <v>16123</v>
      </c>
      <c r="J39" s="1">
        <v>16775</v>
      </c>
      <c r="K39" s="1">
        <v>17613</v>
      </c>
      <c r="L39" s="1">
        <v>17867</v>
      </c>
      <c r="M39" s="1">
        <v>18367</v>
      </c>
      <c r="N39" s="1">
        <v>18058</v>
      </c>
      <c r="O39" s="1">
        <v>17256</v>
      </c>
      <c r="P39" s="1">
        <v>16407</v>
      </c>
      <c r="Q39" s="1">
        <v>15674</v>
      </c>
      <c r="R39" s="1">
        <v>15306</v>
      </c>
      <c r="S39" s="1">
        <v>16062</v>
      </c>
      <c r="T39" s="1">
        <v>17216</v>
      </c>
      <c r="U39" s="1">
        <v>18748</v>
      </c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</row>
    <row r="40" spans="1:32" ht="15" customHeight="1" x14ac:dyDescent="0.25">
      <c r="C40" s="11" t="s">
        <v>1</v>
      </c>
      <c r="D40" s="1">
        <v>25213</v>
      </c>
      <c r="E40" s="1">
        <v>24653</v>
      </c>
      <c r="F40" s="1">
        <v>23844</v>
      </c>
      <c r="G40" s="1">
        <v>23504</v>
      </c>
      <c r="H40" s="1">
        <v>23734</v>
      </c>
      <c r="I40" s="1">
        <v>24701</v>
      </c>
      <c r="J40" s="1">
        <v>25937</v>
      </c>
      <c r="K40" s="1">
        <v>27367</v>
      </c>
      <c r="L40" s="1">
        <v>27979</v>
      </c>
      <c r="M40" s="1">
        <v>28599</v>
      </c>
      <c r="N40" s="1">
        <v>27829</v>
      </c>
      <c r="O40" s="1">
        <v>26728</v>
      </c>
      <c r="P40" s="1">
        <v>25191</v>
      </c>
      <c r="Q40" s="1">
        <v>23578</v>
      </c>
      <c r="R40" s="1">
        <v>21970</v>
      </c>
      <c r="S40" s="1">
        <v>22089</v>
      </c>
      <c r="T40" s="1">
        <v>22907</v>
      </c>
      <c r="U40" s="1">
        <v>24219</v>
      </c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</row>
    <row r="41" spans="1:32" ht="15" customHeight="1" x14ac:dyDescent="0.25">
      <c r="C41" s="11" t="s">
        <v>2</v>
      </c>
      <c r="D41" s="1">
        <v>39116</v>
      </c>
      <c r="E41" s="1">
        <v>39069</v>
      </c>
      <c r="F41" s="1">
        <v>38670</v>
      </c>
      <c r="G41" s="1">
        <v>38379</v>
      </c>
      <c r="H41" s="1">
        <v>38932</v>
      </c>
      <c r="I41" s="1">
        <v>38792</v>
      </c>
      <c r="J41" s="1">
        <v>39206</v>
      </c>
      <c r="K41" s="1">
        <v>39523</v>
      </c>
      <c r="L41" s="1">
        <v>39291</v>
      </c>
      <c r="M41" s="1">
        <v>38881</v>
      </c>
      <c r="N41" s="1">
        <v>38973</v>
      </c>
      <c r="O41" s="1">
        <v>37792</v>
      </c>
      <c r="P41" s="1">
        <v>35988</v>
      </c>
      <c r="Q41" s="1">
        <v>36574</v>
      </c>
      <c r="R41" s="1">
        <v>35041</v>
      </c>
      <c r="S41" s="1">
        <v>33976</v>
      </c>
      <c r="T41" s="1">
        <v>34621</v>
      </c>
      <c r="U41" s="1">
        <v>36889</v>
      </c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</row>
    <row r="42" spans="1:32" ht="15" customHeight="1" x14ac:dyDescent="0.25">
      <c r="A42" s="2" t="s">
        <v>33</v>
      </c>
      <c r="B42" s="2" t="s">
        <v>13</v>
      </c>
      <c r="C42" s="11" t="s">
        <v>0</v>
      </c>
      <c r="D42" s="1">
        <v>34600</v>
      </c>
      <c r="E42" s="1">
        <v>33730</v>
      </c>
      <c r="F42" s="1">
        <v>33050</v>
      </c>
      <c r="G42" s="1">
        <v>32870</v>
      </c>
      <c r="H42" s="1">
        <v>33077</v>
      </c>
      <c r="I42" s="1">
        <v>34170</v>
      </c>
      <c r="J42" s="1">
        <v>35498</v>
      </c>
      <c r="K42" s="1">
        <v>36944</v>
      </c>
      <c r="L42" s="1">
        <v>37307</v>
      </c>
      <c r="M42" s="1">
        <v>38205</v>
      </c>
      <c r="N42" s="1">
        <v>36837</v>
      </c>
      <c r="O42" s="1">
        <v>34427</v>
      </c>
      <c r="P42" s="1">
        <v>32226</v>
      </c>
      <c r="Q42" s="1">
        <v>30598</v>
      </c>
      <c r="R42" s="1">
        <v>29475</v>
      </c>
      <c r="S42" s="1">
        <v>30306</v>
      </c>
      <c r="T42" s="1">
        <v>32659</v>
      </c>
      <c r="U42" s="1">
        <v>35244</v>
      </c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</row>
    <row r="43" spans="1:32" ht="15" customHeight="1" x14ac:dyDescent="0.25">
      <c r="C43" s="11" t="s">
        <v>1</v>
      </c>
      <c r="D43" s="1">
        <v>56101</v>
      </c>
      <c r="E43" s="1">
        <v>54732</v>
      </c>
      <c r="F43" s="1">
        <v>53675</v>
      </c>
      <c r="G43" s="1">
        <v>53096</v>
      </c>
      <c r="H43" s="1">
        <v>53669</v>
      </c>
      <c r="I43" s="1">
        <v>54921</v>
      </c>
      <c r="J43" s="1">
        <v>56978</v>
      </c>
      <c r="K43" s="1">
        <v>59572</v>
      </c>
      <c r="L43" s="1">
        <v>60904</v>
      </c>
      <c r="M43" s="1">
        <v>61534</v>
      </c>
      <c r="N43" s="1">
        <v>60460</v>
      </c>
      <c r="O43" s="1">
        <v>58037</v>
      </c>
      <c r="P43" s="1">
        <v>54996</v>
      </c>
      <c r="Q43" s="1">
        <v>51380</v>
      </c>
      <c r="R43" s="1">
        <v>48034</v>
      </c>
      <c r="S43" s="1">
        <v>47034</v>
      </c>
      <c r="T43" s="1">
        <v>47791</v>
      </c>
      <c r="U43" s="1">
        <v>50007</v>
      </c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</row>
    <row r="44" spans="1:32" ht="15" customHeight="1" x14ac:dyDescent="0.25">
      <c r="C44" s="11" t="s">
        <v>2</v>
      </c>
      <c r="D44" s="1">
        <v>80122</v>
      </c>
      <c r="E44" s="1">
        <v>79503</v>
      </c>
      <c r="F44" s="1">
        <v>79219</v>
      </c>
      <c r="G44" s="1">
        <v>79212</v>
      </c>
      <c r="H44" s="1">
        <v>80313</v>
      </c>
      <c r="I44" s="1">
        <v>80132</v>
      </c>
      <c r="J44" s="1">
        <v>80561</v>
      </c>
      <c r="K44" s="1">
        <v>80850</v>
      </c>
      <c r="L44" s="1">
        <v>80042</v>
      </c>
      <c r="M44" s="1">
        <v>79072</v>
      </c>
      <c r="N44" s="1">
        <v>78808</v>
      </c>
      <c r="O44" s="1">
        <v>77194</v>
      </c>
      <c r="P44" s="1">
        <v>73975</v>
      </c>
      <c r="Q44" s="1">
        <v>73494</v>
      </c>
      <c r="R44" s="1">
        <v>69924</v>
      </c>
      <c r="S44" s="1">
        <v>67511</v>
      </c>
      <c r="T44" s="1">
        <v>68081</v>
      </c>
      <c r="U44" s="1">
        <v>72307</v>
      </c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</row>
    <row r="45" spans="1:32" ht="15" customHeight="1" x14ac:dyDescent="0.25">
      <c r="A45" s="2" t="s">
        <v>34</v>
      </c>
      <c r="B45" s="2" t="s">
        <v>11</v>
      </c>
      <c r="C45" s="11" t="s">
        <v>0</v>
      </c>
      <c r="D45" s="1">
        <v>7940</v>
      </c>
      <c r="E45" s="1">
        <v>8540</v>
      </c>
      <c r="F45" s="1">
        <v>9020</v>
      </c>
      <c r="G45" s="1">
        <v>9580</v>
      </c>
      <c r="H45" s="1">
        <v>10001</v>
      </c>
      <c r="I45" s="1">
        <v>10199</v>
      </c>
      <c r="J45" s="1">
        <v>10251</v>
      </c>
      <c r="K45" s="1">
        <v>10140</v>
      </c>
      <c r="L45" s="1">
        <v>10232</v>
      </c>
      <c r="M45" s="1">
        <v>10461</v>
      </c>
      <c r="N45" s="1">
        <v>10992</v>
      </c>
      <c r="O45" s="1">
        <v>11517</v>
      </c>
      <c r="P45" s="1">
        <v>12182</v>
      </c>
      <c r="Q45" s="1">
        <v>12470</v>
      </c>
      <c r="R45" s="1">
        <v>12662</v>
      </c>
      <c r="S45" s="1">
        <v>12329</v>
      </c>
      <c r="T45" s="1">
        <v>11864</v>
      </c>
      <c r="U45" s="1">
        <v>11305</v>
      </c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</row>
    <row r="46" spans="1:32" ht="15" customHeight="1" x14ac:dyDescent="0.25">
      <c r="C46" s="11" t="s">
        <v>1</v>
      </c>
      <c r="D46" s="1">
        <v>11687</v>
      </c>
      <c r="E46" s="1">
        <v>12673</v>
      </c>
      <c r="F46" s="1">
        <v>13721</v>
      </c>
      <c r="G46" s="1">
        <v>14587</v>
      </c>
      <c r="H46" s="1">
        <v>15247</v>
      </c>
      <c r="I46" s="1">
        <v>15229</v>
      </c>
      <c r="J46" s="1">
        <v>15089</v>
      </c>
      <c r="K46" s="1">
        <v>14683</v>
      </c>
      <c r="L46" s="1">
        <v>14745</v>
      </c>
      <c r="M46" s="1">
        <v>15115</v>
      </c>
      <c r="N46" s="1">
        <v>15902</v>
      </c>
      <c r="O46" s="1">
        <v>16700</v>
      </c>
      <c r="P46" s="1">
        <v>17716</v>
      </c>
      <c r="Q46" s="1">
        <v>18166</v>
      </c>
      <c r="R46" s="1">
        <v>18134</v>
      </c>
      <c r="S46" s="1">
        <v>17533</v>
      </c>
      <c r="T46" s="1">
        <v>16971</v>
      </c>
      <c r="U46" s="1">
        <v>16054</v>
      </c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</row>
    <row r="47" spans="1:32" ht="15" customHeight="1" x14ac:dyDescent="0.25">
      <c r="C47" s="11" t="s">
        <v>2</v>
      </c>
      <c r="D47" s="1">
        <v>19721</v>
      </c>
      <c r="E47" s="1">
        <v>21180</v>
      </c>
      <c r="F47" s="1">
        <v>22331</v>
      </c>
      <c r="G47" s="1">
        <v>23767</v>
      </c>
      <c r="H47" s="1">
        <v>24647</v>
      </c>
      <c r="I47" s="1">
        <v>25042</v>
      </c>
      <c r="J47" s="1">
        <v>24913</v>
      </c>
      <c r="K47" s="1">
        <v>24784</v>
      </c>
      <c r="L47" s="1">
        <v>24692</v>
      </c>
      <c r="M47" s="1">
        <v>25222</v>
      </c>
      <c r="N47" s="1">
        <v>25212</v>
      </c>
      <c r="O47" s="1">
        <v>25664</v>
      </c>
      <c r="P47" s="1">
        <v>26060</v>
      </c>
      <c r="Q47" s="1">
        <v>25387</v>
      </c>
      <c r="R47" s="1">
        <v>25216</v>
      </c>
      <c r="S47" s="1">
        <v>25783</v>
      </c>
      <c r="T47" s="1">
        <v>25719</v>
      </c>
      <c r="U47" s="1">
        <v>25046</v>
      </c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</row>
    <row r="48" spans="1:32" ht="15" customHeight="1" x14ac:dyDescent="0.25">
      <c r="A48" s="2" t="s">
        <v>34</v>
      </c>
      <c r="B48" s="2" t="s">
        <v>13</v>
      </c>
      <c r="C48" s="11" t="s">
        <v>0</v>
      </c>
      <c r="D48" s="1">
        <v>23780</v>
      </c>
      <c r="E48" s="1">
        <v>24600</v>
      </c>
      <c r="F48" s="1">
        <v>25330</v>
      </c>
      <c r="G48" s="1">
        <v>25970</v>
      </c>
      <c r="H48" s="1">
        <v>26539</v>
      </c>
      <c r="I48" s="1">
        <v>26965</v>
      </c>
      <c r="J48" s="1">
        <v>26495</v>
      </c>
      <c r="K48" s="1">
        <v>26051</v>
      </c>
      <c r="L48" s="1">
        <v>26198</v>
      </c>
      <c r="M48" s="1">
        <v>26670</v>
      </c>
      <c r="N48" s="1">
        <v>27743</v>
      </c>
      <c r="O48" s="1">
        <v>29027</v>
      </c>
      <c r="P48" s="1">
        <v>30321</v>
      </c>
      <c r="Q48" s="1">
        <v>30634</v>
      </c>
      <c r="R48" s="1">
        <v>31149</v>
      </c>
      <c r="S48" s="1">
        <v>30060</v>
      </c>
      <c r="T48" s="1">
        <v>28231</v>
      </c>
      <c r="U48" s="1">
        <v>26550</v>
      </c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</row>
    <row r="49" spans="1:32" ht="15" customHeight="1" x14ac:dyDescent="0.25">
      <c r="C49" s="11" t="s">
        <v>1</v>
      </c>
      <c r="D49" s="1">
        <v>39750</v>
      </c>
      <c r="E49" s="1">
        <v>40697</v>
      </c>
      <c r="F49" s="1">
        <v>40870</v>
      </c>
      <c r="G49" s="1">
        <v>41223</v>
      </c>
      <c r="H49" s="1">
        <v>41292</v>
      </c>
      <c r="I49" s="1">
        <v>41376</v>
      </c>
      <c r="J49" s="1">
        <v>40619</v>
      </c>
      <c r="K49" s="1">
        <v>40069</v>
      </c>
      <c r="L49" s="1">
        <v>39866</v>
      </c>
      <c r="M49" s="1">
        <v>40723</v>
      </c>
      <c r="N49" s="1">
        <v>42209</v>
      </c>
      <c r="O49" s="1">
        <v>44049</v>
      </c>
      <c r="P49" s="1">
        <v>46364</v>
      </c>
      <c r="Q49" s="1">
        <v>47524</v>
      </c>
      <c r="R49" s="1">
        <v>47318</v>
      </c>
      <c r="S49" s="1">
        <v>46642</v>
      </c>
      <c r="T49" s="1">
        <v>44894</v>
      </c>
      <c r="U49" s="1">
        <v>42514</v>
      </c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</row>
    <row r="50" spans="1:32" ht="15" customHeight="1" x14ac:dyDescent="0.25">
      <c r="C50" s="11" t="s">
        <v>2</v>
      </c>
      <c r="D50" s="1">
        <v>55022</v>
      </c>
      <c r="E50" s="1">
        <v>57108</v>
      </c>
      <c r="F50" s="1">
        <v>58079</v>
      </c>
      <c r="G50" s="1">
        <v>58907</v>
      </c>
      <c r="H50" s="1">
        <v>59568</v>
      </c>
      <c r="I50" s="1">
        <v>60923</v>
      </c>
      <c r="J50" s="1">
        <v>60574</v>
      </c>
      <c r="K50" s="1">
        <v>60738</v>
      </c>
      <c r="L50" s="1">
        <v>61022</v>
      </c>
      <c r="M50" s="1">
        <v>62243</v>
      </c>
      <c r="N50" s="1">
        <v>62399</v>
      </c>
      <c r="O50" s="1">
        <v>62831</v>
      </c>
      <c r="P50" s="1">
        <v>63360</v>
      </c>
      <c r="Q50" s="1">
        <v>60804</v>
      </c>
      <c r="R50" s="1">
        <v>60254</v>
      </c>
      <c r="S50" s="1">
        <v>61361</v>
      </c>
      <c r="T50" s="1">
        <v>61252</v>
      </c>
      <c r="U50" s="1">
        <v>59511</v>
      </c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</row>
    <row r="51" spans="1:32" ht="15" customHeight="1" x14ac:dyDescent="0.25">
      <c r="A51" s="2" t="s">
        <v>19</v>
      </c>
      <c r="B51" s="2" t="s">
        <v>11</v>
      </c>
      <c r="C51" s="11" t="s">
        <v>0</v>
      </c>
      <c r="D51" s="1">
        <v>3480</v>
      </c>
      <c r="E51" s="1">
        <v>3730</v>
      </c>
      <c r="F51" s="1">
        <v>3950</v>
      </c>
      <c r="G51" s="1">
        <v>4270</v>
      </c>
      <c r="H51" s="1">
        <v>4640</v>
      </c>
      <c r="I51" s="1">
        <v>5182</v>
      </c>
      <c r="J51" s="1">
        <v>5672</v>
      </c>
      <c r="K51" s="1">
        <v>6068</v>
      </c>
      <c r="L51" s="1">
        <v>6586</v>
      </c>
      <c r="M51" s="1">
        <v>7078</v>
      </c>
      <c r="N51" s="1">
        <v>7423</v>
      </c>
      <c r="O51" s="1">
        <v>7600</v>
      </c>
      <c r="P51" s="1">
        <v>7776</v>
      </c>
      <c r="Q51" s="1">
        <v>8095</v>
      </c>
      <c r="R51" s="1">
        <v>8229</v>
      </c>
      <c r="S51" s="1">
        <v>8578</v>
      </c>
      <c r="T51" s="1">
        <v>8861</v>
      </c>
      <c r="U51" s="1">
        <v>9320</v>
      </c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</row>
    <row r="52" spans="1:32" ht="15" customHeight="1" x14ac:dyDescent="0.25">
      <c r="C52" s="11" t="s">
        <v>1</v>
      </c>
      <c r="D52" s="1">
        <v>5255</v>
      </c>
      <c r="E52" s="1">
        <v>5444</v>
      </c>
      <c r="F52" s="1">
        <v>5659</v>
      </c>
      <c r="G52" s="1">
        <v>6019</v>
      </c>
      <c r="H52" s="1">
        <v>6442</v>
      </c>
      <c r="I52" s="1">
        <v>7193</v>
      </c>
      <c r="J52" s="1">
        <v>7910</v>
      </c>
      <c r="K52" s="1">
        <v>8573</v>
      </c>
      <c r="L52" s="1">
        <v>9232</v>
      </c>
      <c r="M52" s="1">
        <v>9660</v>
      </c>
      <c r="N52" s="1">
        <v>9917</v>
      </c>
      <c r="O52" s="1">
        <v>10154</v>
      </c>
      <c r="P52" s="1">
        <v>10227</v>
      </c>
      <c r="Q52" s="1">
        <v>10468</v>
      </c>
      <c r="R52" s="1">
        <v>10531</v>
      </c>
      <c r="S52" s="1">
        <v>10952</v>
      </c>
      <c r="T52" s="1">
        <v>11514</v>
      </c>
      <c r="U52" s="1">
        <v>12171</v>
      </c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</row>
    <row r="53" spans="1:32" ht="15" customHeight="1" x14ac:dyDescent="0.25">
      <c r="C53" s="11" t="s">
        <v>2</v>
      </c>
      <c r="D53" s="1">
        <v>9723</v>
      </c>
      <c r="E53" s="1">
        <v>10258</v>
      </c>
      <c r="F53" s="1">
        <v>10673</v>
      </c>
      <c r="G53" s="1">
        <v>11139</v>
      </c>
      <c r="H53" s="1">
        <v>11791</v>
      </c>
      <c r="I53" s="1">
        <v>12767</v>
      </c>
      <c r="J53" s="1">
        <v>13647</v>
      </c>
      <c r="K53" s="1">
        <v>14492</v>
      </c>
      <c r="L53" s="1">
        <v>15437</v>
      </c>
      <c r="M53" s="1">
        <v>15933</v>
      </c>
      <c r="N53" s="1">
        <v>16522</v>
      </c>
      <c r="O53" s="1">
        <v>17092</v>
      </c>
      <c r="P53" s="1">
        <v>17496</v>
      </c>
      <c r="Q53" s="1">
        <v>17909</v>
      </c>
      <c r="R53" s="1">
        <v>17709</v>
      </c>
      <c r="S53" s="1">
        <v>17902</v>
      </c>
      <c r="T53" s="1">
        <v>18573</v>
      </c>
      <c r="U53" s="1">
        <v>19261</v>
      </c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</row>
    <row r="54" spans="1:32" ht="15" customHeight="1" x14ac:dyDescent="0.25">
      <c r="A54" s="2" t="s">
        <v>19</v>
      </c>
      <c r="B54" s="2" t="s">
        <v>13</v>
      </c>
      <c r="C54" s="11" t="s">
        <v>0</v>
      </c>
      <c r="D54" s="1">
        <v>14240</v>
      </c>
      <c r="E54" s="1">
        <v>15420</v>
      </c>
      <c r="F54" s="1">
        <v>16470</v>
      </c>
      <c r="G54" s="1">
        <v>17640</v>
      </c>
      <c r="H54" s="1">
        <v>18988</v>
      </c>
      <c r="I54" s="1">
        <v>20347</v>
      </c>
      <c r="J54" s="1">
        <v>21751</v>
      </c>
      <c r="K54" s="1">
        <v>23033</v>
      </c>
      <c r="L54" s="1">
        <v>24078</v>
      </c>
      <c r="M54" s="1">
        <v>25080</v>
      </c>
      <c r="N54" s="1">
        <v>26121</v>
      </c>
      <c r="O54" s="1">
        <v>26573</v>
      </c>
      <c r="P54" s="1">
        <v>27079</v>
      </c>
      <c r="Q54" s="1">
        <v>27820</v>
      </c>
      <c r="R54" s="1">
        <v>28143</v>
      </c>
      <c r="S54" s="1">
        <v>29220</v>
      </c>
      <c r="T54" s="1">
        <v>30534</v>
      </c>
      <c r="U54" s="1">
        <v>31801</v>
      </c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</row>
    <row r="55" spans="1:32" ht="15" customHeight="1" x14ac:dyDescent="0.25">
      <c r="C55" s="11" t="s">
        <v>1</v>
      </c>
      <c r="D55" s="1">
        <v>21321</v>
      </c>
      <c r="E55" s="1">
        <v>23208</v>
      </c>
      <c r="F55" s="1">
        <v>25002</v>
      </c>
      <c r="G55" s="1">
        <v>26869</v>
      </c>
      <c r="H55" s="1">
        <v>28851</v>
      </c>
      <c r="I55" s="1">
        <v>30383</v>
      </c>
      <c r="J55" s="1">
        <v>32142</v>
      </c>
      <c r="K55" s="1">
        <v>33290</v>
      </c>
      <c r="L55" s="1">
        <v>34571</v>
      </c>
      <c r="M55" s="1">
        <v>35405</v>
      </c>
      <c r="N55" s="1">
        <v>36254</v>
      </c>
      <c r="O55" s="1">
        <v>36610</v>
      </c>
      <c r="P55" s="1">
        <v>36745</v>
      </c>
      <c r="Q55" s="1">
        <v>37323</v>
      </c>
      <c r="R55" s="1">
        <v>37370</v>
      </c>
      <c r="S55" s="1">
        <v>38312</v>
      </c>
      <c r="T55" s="1">
        <v>40046</v>
      </c>
      <c r="U55" s="1">
        <v>41893</v>
      </c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</row>
    <row r="56" spans="1:32" ht="15" customHeight="1" x14ac:dyDescent="0.25">
      <c r="C56" s="11" t="s">
        <v>2</v>
      </c>
      <c r="D56" s="1">
        <v>31541</v>
      </c>
      <c r="E56" s="1">
        <v>34028</v>
      </c>
      <c r="F56" s="1">
        <v>36616</v>
      </c>
      <c r="G56" s="1">
        <v>39189</v>
      </c>
      <c r="H56" s="1">
        <v>41864</v>
      </c>
      <c r="I56" s="1">
        <v>44149</v>
      </c>
      <c r="J56" s="1">
        <v>46740</v>
      </c>
      <c r="K56" s="1">
        <v>48577</v>
      </c>
      <c r="L56" s="1">
        <v>49994</v>
      </c>
      <c r="M56" s="1">
        <v>51460</v>
      </c>
      <c r="N56" s="1">
        <v>53147</v>
      </c>
      <c r="O56" s="1">
        <v>54439</v>
      </c>
      <c r="P56" s="1">
        <v>55664</v>
      </c>
      <c r="Q56" s="1">
        <v>54739</v>
      </c>
      <c r="R56" s="1">
        <v>54855</v>
      </c>
      <c r="S56" s="1">
        <v>55831</v>
      </c>
      <c r="T56" s="1">
        <v>57652</v>
      </c>
      <c r="U56" s="1">
        <v>59348</v>
      </c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</row>
    <row r="57" spans="1:32" ht="15" customHeight="1" x14ac:dyDescent="0.25">
      <c r="D57" s="5"/>
      <c r="E57" s="5"/>
      <c r="F57" s="5"/>
      <c r="G57" s="5"/>
      <c r="H57" s="5"/>
      <c r="I57" s="5"/>
      <c r="J57" s="5"/>
      <c r="K57" s="5"/>
      <c r="L57" s="5"/>
    </row>
    <row r="58" spans="1:32" ht="15" customHeight="1" x14ac:dyDescent="0.25">
      <c r="A58" s="16" t="s">
        <v>25</v>
      </c>
    </row>
    <row r="59" spans="1:32" ht="15" customHeight="1" x14ac:dyDescent="0.25">
      <c r="A59" s="10" t="s">
        <v>15</v>
      </c>
      <c r="B59" s="2" t="s">
        <v>11</v>
      </c>
      <c r="C59" s="11" t="s">
        <v>0</v>
      </c>
      <c r="D59" s="47">
        <f>D3+D9</f>
        <v>89430</v>
      </c>
      <c r="E59" s="47">
        <f t="shared" ref="E59:U64" si="0">E3+E9</f>
        <v>89340</v>
      </c>
      <c r="F59" s="47">
        <f t="shared" si="0"/>
        <v>89000</v>
      </c>
      <c r="G59" s="47">
        <f t="shared" si="0"/>
        <v>87870</v>
      </c>
      <c r="H59" s="47">
        <f t="shared" si="0"/>
        <v>87046</v>
      </c>
      <c r="I59" s="47">
        <f t="shared" si="0"/>
        <v>85936</v>
      </c>
      <c r="J59" s="47">
        <f t="shared" si="0"/>
        <v>85519</v>
      </c>
      <c r="K59" s="47">
        <f t="shared" si="0"/>
        <v>85174</v>
      </c>
      <c r="L59" s="47">
        <f t="shared" si="0"/>
        <v>84346</v>
      </c>
      <c r="M59" s="47">
        <f t="shared" si="0"/>
        <v>84619</v>
      </c>
      <c r="N59" s="47">
        <f t="shared" si="0"/>
        <v>85432</v>
      </c>
      <c r="O59" s="47">
        <f t="shared" si="0"/>
        <v>86643</v>
      </c>
      <c r="P59" s="47">
        <f t="shared" si="0"/>
        <v>87547</v>
      </c>
      <c r="Q59" s="47">
        <f t="shared" si="0"/>
        <v>88918</v>
      </c>
      <c r="R59" s="47">
        <f t="shared" si="0"/>
        <v>90414</v>
      </c>
      <c r="S59" s="47">
        <f t="shared" si="0"/>
        <v>93158</v>
      </c>
      <c r="T59" s="47">
        <f t="shared" si="0"/>
        <v>94204</v>
      </c>
      <c r="U59" s="47">
        <f t="shared" si="0"/>
        <v>94498</v>
      </c>
      <c r="V59" s="51">
        <f>ROUND(_xlfn.FORECAST.LINEAR(V$1,$D59:U59,$D$1:U$1),0)</f>
        <v>90988</v>
      </c>
      <c r="W59" s="51">
        <f>ROUND(_xlfn.FORECAST.LINEAR(W$1,$D59:V59,$D$1:V$1),0)</f>
        <v>91273</v>
      </c>
      <c r="X59" s="51">
        <f>ROUND(_xlfn.FORECAST.LINEAR(X$1,$D59:W59,$D$1:W$1),0)</f>
        <v>91558</v>
      </c>
      <c r="Y59" s="51">
        <f>ROUND(_xlfn.FORECAST.LINEAR(Y$1,$D59:X59,$D$1:X$1),0)</f>
        <v>91843</v>
      </c>
      <c r="Z59" s="51">
        <f>ROUND(_xlfn.FORECAST.LINEAR(Z$1,$D59:Y59,$D$1:Y$1),0)</f>
        <v>92127</v>
      </c>
      <c r="AA59" s="51">
        <f>ROUND(_xlfn.FORECAST.LINEAR(AA$1,$D59:Z59,$D$1:Z$1),0)</f>
        <v>92412</v>
      </c>
      <c r="AB59" s="51">
        <f>ROUND(_xlfn.FORECAST.LINEAR(AB$1,$D59:AA59,$D$1:AA$1),0)</f>
        <v>92697</v>
      </c>
      <c r="AC59" s="51">
        <f>ROUND(_xlfn.FORECAST.LINEAR(AC$1,$D59:AB59,$D$1:AB$1),0)</f>
        <v>92982</v>
      </c>
      <c r="AD59" s="51">
        <f>ROUND(_xlfn.FORECAST.LINEAR(AD$1,$D59:AC59,$D$1:AC$1),0)</f>
        <v>93266</v>
      </c>
      <c r="AE59" s="51">
        <f>ROUND(_xlfn.FORECAST.LINEAR(AE$1,$D59:AD59,$D$1:AD$1),0)</f>
        <v>93551</v>
      </c>
      <c r="AF59" s="51">
        <f>ROUND(_xlfn.FORECAST.LINEAR(AF$1,$D59:AE59,$D$1:AE$1),0)</f>
        <v>93836</v>
      </c>
    </row>
    <row r="60" spans="1:32" ht="15" customHeight="1" x14ac:dyDescent="0.25">
      <c r="C60" s="11" t="s">
        <v>1</v>
      </c>
      <c r="D60" s="47">
        <f t="shared" ref="D60:S64" si="1">D4+D10</f>
        <v>146131</v>
      </c>
      <c r="E60" s="47">
        <f t="shared" si="1"/>
        <v>145954</v>
      </c>
      <c r="F60" s="47">
        <f t="shared" si="1"/>
        <v>144329</v>
      </c>
      <c r="G60" s="47">
        <f t="shared" si="1"/>
        <v>141575</v>
      </c>
      <c r="H60" s="47">
        <f t="shared" si="1"/>
        <v>139838</v>
      </c>
      <c r="I60" s="47">
        <f t="shared" si="1"/>
        <v>137736</v>
      </c>
      <c r="J60" s="47">
        <f t="shared" si="1"/>
        <v>134936</v>
      </c>
      <c r="K60" s="47">
        <f t="shared" si="1"/>
        <v>133004</v>
      </c>
      <c r="L60" s="47">
        <f t="shared" si="1"/>
        <v>130596</v>
      </c>
      <c r="M60" s="47">
        <f t="shared" si="1"/>
        <v>128184</v>
      </c>
      <c r="N60" s="47">
        <f t="shared" si="1"/>
        <v>126604</v>
      </c>
      <c r="O60" s="47">
        <f t="shared" si="1"/>
        <v>125348</v>
      </c>
      <c r="P60" s="47">
        <f t="shared" si="1"/>
        <v>124813</v>
      </c>
      <c r="Q60" s="47">
        <f t="shared" si="1"/>
        <v>124387</v>
      </c>
      <c r="R60" s="47">
        <f t="shared" si="1"/>
        <v>124169</v>
      </c>
      <c r="S60" s="47">
        <f t="shared" si="1"/>
        <v>121511</v>
      </c>
      <c r="T60" s="47">
        <f t="shared" si="0"/>
        <v>121161</v>
      </c>
      <c r="U60" s="47">
        <f t="shared" si="0"/>
        <v>120959</v>
      </c>
      <c r="V60" s="51">
        <f>ROUND(_xlfn.FORECAST.LINEAR(V$1,$D60:U60,$D$1:U$1),0)</f>
        <v>116177</v>
      </c>
      <c r="W60" s="51">
        <f>ROUND(_xlfn.FORECAST.LINEAR(W$1,$D60:V60,$D$1:V$1),0)</f>
        <v>114539</v>
      </c>
      <c r="X60" s="51">
        <f>ROUND(_xlfn.FORECAST.LINEAR(X$1,$D60:W60,$D$1:W$1),0)</f>
        <v>112901</v>
      </c>
      <c r="Y60" s="51">
        <f>ROUND(_xlfn.FORECAST.LINEAR(Y$1,$D60:X60,$D$1:X$1),0)</f>
        <v>111263</v>
      </c>
      <c r="Z60" s="51">
        <f>ROUND(_xlfn.FORECAST.LINEAR(Z$1,$D60:Y60,$D$1:Y$1),0)</f>
        <v>109626</v>
      </c>
      <c r="AA60" s="51">
        <f>ROUND(_xlfn.FORECAST.LINEAR(AA$1,$D60:Z60,$D$1:Z$1),0)</f>
        <v>107988</v>
      </c>
      <c r="AB60" s="51">
        <f>ROUND(_xlfn.FORECAST.LINEAR(AB$1,$D60:AA60,$D$1:AA$1),0)</f>
        <v>106350</v>
      </c>
      <c r="AC60" s="51">
        <f>ROUND(_xlfn.FORECAST.LINEAR(AC$1,$D60:AB60,$D$1:AB$1),0)</f>
        <v>104712</v>
      </c>
      <c r="AD60" s="51">
        <f>ROUND(_xlfn.FORECAST.LINEAR(AD$1,$D60:AC60,$D$1:AC$1),0)</f>
        <v>103075</v>
      </c>
      <c r="AE60" s="51">
        <f>ROUND(_xlfn.FORECAST.LINEAR(AE$1,$D60:AD60,$D$1:AD$1),0)</f>
        <v>101437</v>
      </c>
      <c r="AF60" s="51">
        <f>ROUND(_xlfn.FORECAST.LINEAR(AF$1,$D60:AE60,$D$1:AE$1),0)</f>
        <v>99799</v>
      </c>
    </row>
    <row r="61" spans="1:32" ht="15" customHeight="1" x14ac:dyDescent="0.25">
      <c r="C61" s="11" t="s">
        <v>2</v>
      </c>
      <c r="D61" s="47">
        <f t="shared" si="1"/>
        <v>218676</v>
      </c>
      <c r="E61" s="47">
        <f t="shared" si="0"/>
        <v>221632</v>
      </c>
      <c r="F61" s="47">
        <f t="shared" si="0"/>
        <v>221805</v>
      </c>
      <c r="G61" s="47">
        <f t="shared" si="0"/>
        <v>218980</v>
      </c>
      <c r="H61" s="47">
        <f t="shared" si="0"/>
        <v>217603</v>
      </c>
      <c r="I61" s="47">
        <f t="shared" si="0"/>
        <v>215587</v>
      </c>
      <c r="J61" s="47">
        <f t="shared" si="0"/>
        <v>212674</v>
      </c>
      <c r="K61" s="47">
        <f t="shared" si="0"/>
        <v>209825</v>
      </c>
      <c r="L61" s="47">
        <f t="shared" si="0"/>
        <v>206164</v>
      </c>
      <c r="M61" s="47">
        <f t="shared" si="0"/>
        <v>202248</v>
      </c>
      <c r="N61" s="47">
        <f t="shared" si="0"/>
        <v>198547</v>
      </c>
      <c r="O61" s="47">
        <f t="shared" si="0"/>
        <v>195887</v>
      </c>
      <c r="P61" s="47">
        <f t="shared" si="0"/>
        <v>194636</v>
      </c>
      <c r="Q61" s="47">
        <f t="shared" si="0"/>
        <v>191378</v>
      </c>
      <c r="R61" s="47">
        <f t="shared" si="0"/>
        <v>190256</v>
      </c>
      <c r="S61" s="47">
        <f t="shared" si="0"/>
        <v>192537</v>
      </c>
      <c r="T61" s="47">
        <f t="shared" si="0"/>
        <v>194644.5</v>
      </c>
      <c r="U61" s="47">
        <f t="shared" si="0"/>
        <v>195154</v>
      </c>
      <c r="V61" s="51">
        <f>ROUND(_xlfn.FORECAST.LINEAR(V$1,$D61:U61,$D$1:U$1),0)</f>
        <v>185796</v>
      </c>
      <c r="W61" s="51">
        <f>ROUND(_xlfn.FORECAST.LINEAR(W$1,$D61:V61,$D$1:V$1),0)</f>
        <v>183726</v>
      </c>
      <c r="X61" s="51">
        <f>ROUND(_xlfn.FORECAST.LINEAR(X$1,$D61:W61,$D$1:W$1),0)</f>
        <v>181656</v>
      </c>
      <c r="Y61" s="51">
        <f>ROUND(_xlfn.FORECAST.LINEAR(Y$1,$D61:X61,$D$1:X$1),0)</f>
        <v>179587</v>
      </c>
      <c r="Z61" s="51">
        <f>ROUND(_xlfn.FORECAST.LINEAR(Z$1,$D61:Y61,$D$1:Y$1),0)</f>
        <v>177517</v>
      </c>
      <c r="AA61" s="51">
        <f>ROUND(_xlfn.FORECAST.LINEAR(AA$1,$D61:Z61,$D$1:Z$1),0)</f>
        <v>175447</v>
      </c>
      <c r="AB61" s="51">
        <f>ROUND(_xlfn.FORECAST.LINEAR(AB$1,$D61:AA61,$D$1:AA$1),0)</f>
        <v>173378</v>
      </c>
      <c r="AC61" s="51">
        <f>ROUND(_xlfn.FORECAST.LINEAR(AC$1,$D61:AB61,$D$1:AB$1),0)</f>
        <v>171308</v>
      </c>
      <c r="AD61" s="51">
        <f>ROUND(_xlfn.FORECAST.LINEAR(AD$1,$D61:AC61,$D$1:AC$1),0)</f>
        <v>169238</v>
      </c>
      <c r="AE61" s="51">
        <f>ROUND(_xlfn.FORECAST.LINEAR(AE$1,$D61:AD61,$D$1:AD$1),0)</f>
        <v>167169</v>
      </c>
      <c r="AF61" s="51">
        <f>ROUND(_xlfn.FORECAST.LINEAR(AF$1,$D61:AE61,$D$1:AE$1),0)</f>
        <v>165099</v>
      </c>
    </row>
    <row r="62" spans="1:32" ht="15" customHeight="1" x14ac:dyDescent="0.25">
      <c r="A62" s="10" t="s">
        <v>15</v>
      </c>
      <c r="B62" s="2" t="s">
        <v>13</v>
      </c>
      <c r="C62" s="11" t="s">
        <v>0</v>
      </c>
      <c r="D62" s="47">
        <f t="shared" si="1"/>
        <v>100020</v>
      </c>
      <c r="E62" s="47">
        <f t="shared" si="0"/>
        <v>99220</v>
      </c>
      <c r="F62" s="47">
        <f t="shared" si="0"/>
        <v>97970</v>
      </c>
      <c r="G62" s="47">
        <f t="shared" si="0"/>
        <v>96100</v>
      </c>
      <c r="H62" s="47">
        <f t="shared" si="0"/>
        <v>94299</v>
      </c>
      <c r="I62" s="47">
        <f t="shared" si="0"/>
        <v>92536</v>
      </c>
      <c r="J62" s="47">
        <f t="shared" si="0"/>
        <v>91119</v>
      </c>
      <c r="K62" s="47">
        <f t="shared" si="0"/>
        <v>90031</v>
      </c>
      <c r="L62" s="47">
        <f t="shared" si="0"/>
        <v>88742</v>
      </c>
      <c r="M62" s="47">
        <f t="shared" si="0"/>
        <v>87930</v>
      </c>
      <c r="N62" s="47">
        <f t="shared" si="0"/>
        <v>87731</v>
      </c>
      <c r="O62" s="47">
        <f t="shared" si="0"/>
        <v>87809</v>
      </c>
      <c r="P62" s="47">
        <f t="shared" si="0"/>
        <v>88000</v>
      </c>
      <c r="Q62" s="47">
        <f t="shared" si="0"/>
        <v>88157</v>
      </c>
      <c r="R62" s="47">
        <f t="shared" si="0"/>
        <v>88930</v>
      </c>
      <c r="S62" s="47">
        <f t="shared" si="0"/>
        <v>91994</v>
      </c>
      <c r="T62" s="47">
        <f t="shared" si="0"/>
        <v>93152</v>
      </c>
      <c r="U62" s="47">
        <f t="shared" si="0"/>
        <v>93053</v>
      </c>
      <c r="V62" s="51">
        <f>ROUND(_xlfn.FORECAST.LINEAR(V$1,$D62:U62,$D$1:U$1),0)</f>
        <v>87365</v>
      </c>
      <c r="W62" s="51">
        <f>ROUND(_xlfn.FORECAST.LINEAR(W$1,$D62:V62,$D$1:V$1),0)</f>
        <v>86872</v>
      </c>
      <c r="X62" s="51">
        <f>ROUND(_xlfn.FORECAST.LINEAR(X$1,$D62:W62,$D$1:W$1),0)</f>
        <v>86379</v>
      </c>
      <c r="Y62" s="51">
        <f>ROUND(_xlfn.FORECAST.LINEAR(Y$1,$D62:X62,$D$1:X$1),0)</f>
        <v>85887</v>
      </c>
      <c r="Z62" s="51">
        <f>ROUND(_xlfn.FORECAST.LINEAR(Z$1,$D62:Y62,$D$1:Y$1),0)</f>
        <v>85394</v>
      </c>
      <c r="AA62" s="51">
        <f>ROUND(_xlfn.FORECAST.LINEAR(AA$1,$D62:Z62,$D$1:Z$1),0)</f>
        <v>84902</v>
      </c>
      <c r="AB62" s="51">
        <f>ROUND(_xlfn.FORECAST.LINEAR(AB$1,$D62:AA62,$D$1:AA$1),0)</f>
        <v>84409</v>
      </c>
      <c r="AC62" s="51">
        <f>ROUND(_xlfn.FORECAST.LINEAR(AC$1,$D62:AB62,$D$1:AB$1),0)</f>
        <v>83917</v>
      </c>
      <c r="AD62" s="51">
        <f>ROUND(_xlfn.FORECAST.LINEAR(AD$1,$D62:AC62,$D$1:AC$1),0)</f>
        <v>83424</v>
      </c>
      <c r="AE62" s="51">
        <f>ROUND(_xlfn.FORECAST.LINEAR(AE$1,$D62:AD62,$D$1:AD$1),0)</f>
        <v>82931</v>
      </c>
      <c r="AF62" s="51">
        <f>ROUND(_xlfn.FORECAST.LINEAR(AF$1,$D62:AE62,$D$1:AE$1),0)</f>
        <v>82439</v>
      </c>
    </row>
    <row r="63" spans="1:32" ht="15" customHeight="1" x14ac:dyDescent="0.25">
      <c r="C63" s="11" t="s">
        <v>1</v>
      </c>
      <c r="D63" s="47">
        <f t="shared" si="1"/>
        <v>166814</v>
      </c>
      <c r="E63" s="47">
        <f t="shared" si="0"/>
        <v>166257</v>
      </c>
      <c r="F63" s="47">
        <f t="shared" si="0"/>
        <v>163958</v>
      </c>
      <c r="G63" s="47">
        <f t="shared" si="0"/>
        <v>160289</v>
      </c>
      <c r="H63" s="47">
        <f t="shared" si="0"/>
        <v>157491</v>
      </c>
      <c r="I63" s="47">
        <f t="shared" si="0"/>
        <v>154485</v>
      </c>
      <c r="J63" s="47">
        <f t="shared" si="0"/>
        <v>151176</v>
      </c>
      <c r="K63" s="47">
        <f t="shared" si="0"/>
        <v>147743</v>
      </c>
      <c r="L63" s="47">
        <f t="shared" si="0"/>
        <v>144196</v>
      </c>
      <c r="M63" s="47">
        <f t="shared" si="0"/>
        <v>141221</v>
      </c>
      <c r="N63" s="47">
        <f t="shared" si="0"/>
        <v>138489</v>
      </c>
      <c r="O63" s="47">
        <f t="shared" si="0"/>
        <v>136322</v>
      </c>
      <c r="P63" s="47">
        <f t="shared" si="0"/>
        <v>134808</v>
      </c>
      <c r="Q63" s="47">
        <f t="shared" si="0"/>
        <v>134158</v>
      </c>
      <c r="R63" s="47">
        <f t="shared" si="0"/>
        <v>132681</v>
      </c>
      <c r="S63" s="47">
        <f t="shared" si="0"/>
        <v>133414</v>
      </c>
      <c r="T63" s="47">
        <f t="shared" si="0"/>
        <v>131712</v>
      </c>
      <c r="U63" s="47">
        <f t="shared" si="0"/>
        <v>130040</v>
      </c>
      <c r="V63" s="51">
        <f>ROUND(_xlfn.FORECAST.LINEAR(V$1,$D63:U63,$D$1:U$1),0)</f>
        <v>123329</v>
      </c>
      <c r="W63" s="51">
        <f>ROUND(_xlfn.FORECAST.LINEAR(W$1,$D63:V63,$D$1:V$1),0)</f>
        <v>120959</v>
      </c>
      <c r="X63" s="51">
        <f>ROUND(_xlfn.FORECAST.LINEAR(X$1,$D63:W63,$D$1:W$1),0)</f>
        <v>118589</v>
      </c>
      <c r="Y63" s="51">
        <f>ROUND(_xlfn.FORECAST.LINEAR(Y$1,$D63:X63,$D$1:X$1),0)</f>
        <v>116218</v>
      </c>
      <c r="Z63" s="51">
        <f>ROUND(_xlfn.FORECAST.LINEAR(Z$1,$D63:Y63,$D$1:Y$1),0)</f>
        <v>113848</v>
      </c>
      <c r="AA63" s="51">
        <f>ROUND(_xlfn.FORECAST.LINEAR(AA$1,$D63:Z63,$D$1:Z$1),0)</f>
        <v>111478</v>
      </c>
      <c r="AB63" s="51">
        <f>ROUND(_xlfn.FORECAST.LINEAR(AB$1,$D63:AA63,$D$1:AA$1),0)</f>
        <v>109107</v>
      </c>
      <c r="AC63" s="51">
        <f>ROUND(_xlfn.FORECAST.LINEAR(AC$1,$D63:AB63,$D$1:AB$1),0)</f>
        <v>106737</v>
      </c>
      <c r="AD63" s="51">
        <f>ROUND(_xlfn.FORECAST.LINEAR(AD$1,$D63:AC63,$D$1:AC$1),0)</f>
        <v>104367</v>
      </c>
      <c r="AE63" s="51">
        <f>ROUND(_xlfn.FORECAST.LINEAR(AE$1,$D63:AD63,$D$1:AD$1),0)</f>
        <v>101996</v>
      </c>
      <c r="AF63" s="51">
        <f>ROUND(_xlfn.FORECAST.LINEAR(AF$1,$D63:AE63,$D$1:AE$1),0)</f>
        <v>99626</v>
      </c>
    </row>
    <row r="64" spans="1:32" ht="15" customHeight="1" x14ac:dyDescent="0.25">
      <c r="C64" s="11" t="s">
        <v>2</v>
      </c>
      <c r="D64" s="47">
        <f t="shared" si="1"/>
        <v>245910</v>
      </c>
      <c r="E64" s="47">
        <f t="shared" si="0"/>
        <v>248855</v>
      </c>
      <c r="F64" s="47">
        <f t="shared" si="0"/>
        <v>249735</v>
      </c>
      <c r="G64" s="47">
        <f t="shared" si="0"/>
        <v>245502</v>
      </c>
      <c r="H64" s="47">
        <f t="shared" si="0"/>
        <v>243372</v>
      </c>
      <c r="I64" s="47">
        <f t="shared" si="0"/>
        <v>241064</v>
      </c>
      <c r="J64" s="47">
        <f t="shared" si="0"/>
        <v>236999</v>
      </c>
      <c r="K64" s="47">
        <f t="shared" si="0"/>
        <v>232398</v>
      </c>
      <c r="L64" s="47">
        <f t="shared" si="0"/>
        <v>227521</v>
      </c>
      <c r="M64" s="47">
        <f t="shared" si="0"/>
        <v>222358</v>
      </c>
      <c r="N64" s="47">
        <f t="shared" si="0"/>
        <v>217932</v>
      </c>
      <c r="O64" s="47">
        <f t="shared" si="0"/>
        <v>214172</v>
      </c>
      <c r="P64" s="47">
        <f t="shared" si="0"/>
        <v>211134</v>
      </c>
      <c r="Q64" s="47">
        <f t="shared" si="0"/>
        <v>208750</v>
      </c>
      <c r="R64" s="47">
        <f t="shared" si="0"/>
        <v>205550</v>
      </c>
      <c r="S64" s="47">
        <f t="shared" si="0"/>
        <v>204421</v>
      </c>
      <c r="T64" s="47">
        <f t="shared" si="0"/>
        <v>201661.5</v>
      </c>
      <c r="U64" s="47">
        <f t="shared" si="0"/>
        <v>198992</v>
      </c>
      <c r="V64" s="51">
        <f>ROUND(_xlfn.FORECAST.LINEAR(V$1,$D64:U64,$D$1:U$1),0)</f>
        <v>193804</v>
      </c>
      <c r="W64" s="51">
        <f>ROUND(_xlfn.FORECAST.LINEAR(W$1,$D64:V64,$D$1:V$1),0)</f>
        <v>190483</v>
      </c>
      <c r="X64" s="51">
        <f>ROUND(_xlfn.FORECAST.LINEAR(X$1,$D64:W64,$D$1:W$1),0)</f>
        <v>187162</v>
      </c>
      <c r="Y64" s="51">
        <f>ROUND(_xlfn.FORECAST.LINEAR(Y$1,$D64:X64,$D$1:X$1),0)</f>
        <v>183841</v>
      </c>
      <c r="Z64" s="51">
        <f>ROUND(_xlfn.FORECAST.LINEAR(Z$1,$D64:Y64,$D$1:Y$1),0)</f>
        <v>180520</v>
      </c>
      <c r="AA64" s="51">
        <f>ROUND(_xlfn.FORECAST.LINEAR(AA$1,$D64:Z64,$D$1:Z$1),0)</f>
        <v>177200</v>
      </c>
      <c r="AB64" s="51">
        <f>ROUND(_xlfn.FORECAST.LINEAR(AB$1,$D64:AA64,$D$1:AA$1),0)</f>
        <v>173879</v>
      </c>
      <c r="AC64" s="51">
        <f>ROUND(_xlfn.FORECAST.LINEAR(AC$1,$D64:AB64,$D$1:AB$1),0)</f>
        <v>170558</v>
      </c>
      <c r="AD64" s="51">
        <f>ROUND(_xlfn.FORECAST.LINEAR(AD$1,$D64:AC64,$D$1:AC$1),0)</f>
        <v>167237</v>
      </c>
      <c r="AE64" s="51">
        <f>ROUND(_xlfn.FORECAST.LINEAR(AE$1,$D64:AD64,$D$1:AD$1),0)</f>
        <v>163916</v>
      </c>
      <c r="AF64" s="51">
        <f>ROUND(_xlfn.FORECAST.LINEAR(AF$1,$D64:AE64,$D$1:AE$1),0)</f>
        <v>160596</v>
      </c>
    </row>
    <row r="65" spans="1:32" ht="15" customHeight="1" x14ac:dyDescent="0.25">
      <c r="A65" s="2" t="s">
        <v>16</v>
      </c>
      <c r="B65" s="2" t="s">
        <v>11</v>
      </c>
      <c r="C65" s="11" t="s">
        <v>0</v>
      </c>
      <c r="D65" s="47">
        <f>D15+D21</f>
        <v>66980</v>
      </c>
      <c r="E65" s="47">
        <f t="shared" ref="E65:U70" si="2">E15+E21</f>
        <v>68870</v>
      </c>
      <c r="F65" s="47">
        <f t="shared" si="2"/>
        <v>71060</v>
      </c>
      <c r="G65" s="47">
        <f t="shared" si="2"/>
        <v>73470</v>
      </c>
      <c r="H65" s="47">
        <f t="shared" si="2"/>
        <v>74573</v>
      </c>
      <c r="I65" s="47">
        <f t="shared" si="2"/>
        <v>75286</v>
      </c>
      <c r="J65" s="47">
        <f t="shared" si="2"/>
        <v>75935</v>
      </c>
      <c r="K65" s="47">
        <f t="shared" si="2"/>
        <v>76443</v>
      </c>
      <c r="L65" s="47">
        <f t="shared" si="2"/>
        <v>77391</v>
      </c>
      <c r="M65" s="47">
        <f t="shared" si="2"/>
        <v>78038</v>
      </c>
      <c r="N65" s="47">
        <f t="shared" si="2"/>
        <v>78951</v>
      </c>
      <c r="O65" s="47">
        <f t="shared" si="2"/>
        <v>79642</v>
      </c>
      <c r="P65" s="47">
        <f t="shared" si="2"/>
        <v>79990</v>
      </c>
      <c r="Q65" s="47">
        <f t="shared" si="2"/>
        <v>79334</v>
      </c>
      <c r="R65" s="47">
        <f t="shared" si="2"/>
        <v>79166</v>
      </c>
      <c r="S65" s="47">
        <f t="shared" si="2"/>
        <v>79515</v>
      </c>
      <c r="T65" s="47">
        <f t="shared" si="2"/>
        <v>79926</v>
      </c>
      <c r="U65" s="47">
        <f t="shared" si="2"/>
        <v>79863</v>
      </c>
      <c r="V65" s="51">
        <f>ROUND(_xlfn.FORECAST.LINEAR(V$1,$D65:U65,$D$1:U$1),0)</f>
        <v>82827</v>
      </c>
      <c r="W65" s="51">
        <f>ROUND(_xlfn.FORECAST.LINEAR(W$1,$D65:V65,$D$1:V$1),0)</f>
        <v>83508</v>
      </c>
      <c r="X65" s="51">
        <f>ROUND(_xlfn.FORECAST.LINEAR(X$1,$D65:W65,$D$1:W$1),0)</f>
        <v>84189</v>
      </c>
      <c r="Y65" s="51">
        <f>ROUND(_xlfn.FORECAST.LINEAR(Y$1,$D65:X65,$D$1:X$1),0)</f>
        <v>84870</v>
      </c>
      <c r="Z65" s="51">
        <f>ROUND(_xlfn.FORECAST.LINEAR(Z$1,$D65:Y65,$D$1:Y$1),0)</f>
        <v>85551</v>
      </c>
      <c r="AA65" s="51">
        <f>ROUND(_xlfn.FORECAST.LINEAR(AA$1,$D65:Z65,$D$1:Z$1),0)</f>
        <v>86232</v>
      </c>
      <c r="AB65" s="51">
        <f>ROUND(_xlfn.FORECAST.LINEAR(AB$1,$D65:AA65,$D$1:AA$1),0)</f>
        <v>86913</v>
      </c>
      <c r="AC65" s="51">
        <f>ROUND(_xlfn.FORECAST.LINEAR(AC$1,$D65:AB65,$D$1:AB$1),0)</f>
        <v>87594</v>
      </c>
      <c r="AD65" s="51">
        <f>ROUND(_xlfn.FORECAST.LINEAR(AD$1,$D65:AC65,$D$1:AC$1),0)</f>
        <v>88275</v>
      </c>
      <c r="AE65" s="51">
        <f>ROUND(_xlfn.FORECAST.LINEAR(AE$1,$D65:AD65,$D$1:AD$1),0)</f>
        <v>88956</v>
      </c>
      <c r="AF65" s="51">
        <f>ROUND(_xlfn.FORECAST.LINEAR(AF$1,$D65:AE65,$D$1:AE$1),0)</f>
        <v>89637</v>
      </c>
    </row>
    <row r="66" spans="1:32" ht="15" customHeight="1" x14ac:dyDescent="0.25">
      <c r="C66" s="11" t="s">
        <v>1</v>
      </c>
      <c r="D66" s="47">
        <f t="shared" ref="D66:S70" si="3">D16+D22</f>
        <v>104863</v>
      </c>
      <c r="E66" s="47">
        <f t="shared" si="3"/>
        <v>104628</v>
      </c>
      <c r="F66" s="47">
        <f t="shared" si="3"/>
        <v>105774</v>
      </c>
      <c r="G66" s="47">
        <f t="shared" si="3"/>
        <v>107984</v>
      </c>
      <c r="H66" s="47">
        <f t="shared" si="3"/>
        <v>109931</v>
      </c>
      <c r="I66" s="47">
        <f t="shared" si="3"/>
        <v>111967</v>
      </c>
      <c r="J66" s="47">
        <f t="shared" si="3"/>
        <v>113835</v>
      </c>
      <c r="K66" s="47">
        <f t="shared" si="3"/>
        <v>115130</v>
      </c>
      <c r="L66" s="47">
        <f t="shared" si="3"/>
        <v>116828</v>
      </c>
      <c r="M66" s="47">
        <f t="shared" si="3"/>
        <v>118295</v>
      </c>
      <c r="N66" s="47">
        <f t="shared" si="3"/>
        <v>119599</v>
      </c>
      <c r="O66" s="47">
        <f t="shared" si="3"/>
        <v>120568</v>
      </c>
      <c r="P66" s="47">
        <f t="shared" si="3"/>
        <v>120626</v>
      </c>
      <c r="Q66" s="47">
        <f t="shared" si="3"/>
        <v>119801</v>
      </c>
      <c r="R66" s="47">
        <f t="shared" si="3"/>
        <v>118774</v>
      </c>
      <c r="S66" s="47">
        <f t="shared" si="3"/>
        <v>118329</v>
      </c>
      <c r="T66" s="47">
        <f>T16+T22</f>
        <v>116694</v>
      </c>
      <c r="U66" s="47">
        <f t="shared" si="2"/>
        <v>115525</v>
      </c>
      <c r="V66" s="51">
        <f>ROUND(_xlfn.FORECAST.LINEAR(V$1,$D66:U66,$D$1:U$1),0)</f>
        <v>122653</v>
      </c>
      <c r="W66" s="51">
        <f>ROUND(_xlfn.FORECAST.LINEAR(W$1,$D66:V66,$D$1:V$1),0)</f>
        <v>123522</v>
      </c>
      <c r="X66" s="51">
        <f>ROUND(_xlfn.FORECAST.LINEAR(X$1,$D66:W66,$D$1:W$1),0)</f>
        <v>124391</v>
      </c>
      <c r="Y66" s="51">
        <f>ROUND(_xlfn.FORECAST.LINEAR(Y$1,$D66:X66,$D$1:X$1),0)</f>
        <v>125260</v>
      </c>
      <c r="Z66" s="51">
        <f>ROUND(_xlfn.FORECAST.LINEAR(Z$1,$D66:Y66,$D$1:Y$1),0)</f>
        <v>126129</v>
      </c>
      <c r="AA66" s="51">
        <f>ROUND(_xlfn.FORECAST.LINEAR(AA$1,$D66:Z66,$D$1:Z$1),0)</f>
        <v>126998</v>
      </c>
      <c r="AB66" s="51">
        <f>ROUND(_xlfn.FORECAST.LINEAR(AB$1,$D66:AA66,$D$1:AA$1),0)</f>
        <v>127867</v>
      </c>
      <c r="AC66" s="51">
        <f>ROUND(_xlfn.FORECAST.LINEAR(AC$1,$D66:AB66,$D$1:AB$1),0)</f>
        <v>128736</v>
      </c>
      <c r="AD66" s="51">
        <f>ROUND(_xlfn.FORECAST.LINEAR(AD$1,$D66:AC66,$D$1:AC$1),0)</f>
        <v>129605</v>
      </c>
      <c r="AE66" s="51">
        <f>ROUND(_xlfn.FORECAST.LINEAR(AE$1,$D66:AD66,$D$1:AD$1),0)</f>
        <v>130474</v>
      </c>
      <c r="AF66" s="51">
        <f>ROUND(_xlfn.FORECAST.LINEAR(AF$1,$D66:AE66,$D$1:AE$1),0)</f>
        <v>131343</v>
      </c>
    </row>
    <row r="67" spans="1:32" ht="15" customHeight="1" x14ac:dyDescent="0.25">
      <c r="C67" s="11" t="s">
        <v>2</v>
      </c>
      <c r="D67" s="47">
        <f t="shared" si="3"/>
        <v>148077</v>
      </c>
      <c r="E67" s="47">
        <f t="shared" si="2"/>
        <v>147641</v>
      </c>
      <c r="F67" s="47">
        <f t="shared" si="2"/>
        <v>149996</v>
      </c>
      <c r="G67" s="47">
        <f t="shared" si="2"/>
        <v>151319</v>
      </c>
      <c r="H67" s="47">
        <f t="shared" si="2"/>
        <v>154251</v>
      </c>
      <c r="I67" s="47">
        <f t="shared" si="2"/>
        <v>159189</v>
      </c>
      <c r="J67" s="47">
        <f t="shared" si="2"/>
        <v>164779</v>
      </c>
      <c r="K67" s="47">
        <f t="shared" si="2"/>
        <v>169507</v>
      </c>
      <c r="L67" s="47">
        <f t="shared" si="2"/>
        <v>174420</v>
      </c>
      <c r="M67" s="47">
        <f t="shared" si="2"/>
        <v>179371</v>
      </c>
      <c r="N67" s="47">
        <f t="shared" si="2"/>
        <v>183713</v>
      </c>
      <c r="O67" s="47">
        <f t="shared" si="2"/>
        <v>188032</v>
      </c>
      <c r="P67" s="47">
        <f t="shared" si="2"/>
        <v>191615</v>
      </c>
      <c r="Q67" s="47">
        <f t="shared" si="2"/>
        <v>194505</v>
      </c>
      <c r="R67" s="47">
        <f t="shared" si="2"/>
        <v>195722</v>
      </c>
      <c r="S67" s="47">
        <f t="shared" si="2"/>
        <v>195944</v>
      </c>
      <c r="T67" s="47">
        <f t="shared" si="2"/>
        <v>195441</v>
      </c>
      <c r="U67" s="47">
        <f t="shared" si="2"/>
        <v>193729</v>
      </c>
      <c r="V67" s="51">
        <f>ROUND(_xlfn.FORECAST.LINEAR(V$1,$D67:U67,$D$1:U$1),0)</f>
        <v>206958</v>
      </c>
      <c r="W67" s="51">
        <f>ROUND(_xlfn.FORECAST.LINEAR(W$1,$D67:V67,$D$1:V$1),0)</f>
        <v>210396</v>
      </c>
      <c r="X67" s="51">
        <f>ROUND(_xlfn.FORECAST.LINEAR(X$1,$D67:W67,$D$1:W$1),0)</f>
        <v>213835</v>
      </c>
      <c r="Y67" s="51">
        <f>ROUND(_xlfn.FORECAST.LINEAR(Y$1,$D67:X67,$D$1:X$1),0)</f>
        <v>217273</v>
      </c>
      <c r="Z67" s="51">
        <f>ROUND(_xlfn.FORECAST.LINEAR(Z$1,$D67:Y67,$D$1:Y$1),0)</f>
        <v>220712</v>
      </c>
      <c r="AA67" s="51">
        <f>ROUND(_xlfn.FORECAST.LINEAR(AA$1,$D67:Z67,$D$1:Z$1),0)</f>
        <v>224150</v>
      </c>
      <c r="AB67" s="51">
        <f>ROUND(_xlfn.FORECAST.LINEAR(AB$1,$D67:AA67,$D$1:AA$1),0)</f>
        <v>227589</v>
      </c>
      <c r="AC67" s="51">
        <f>ROUND(_xlfn.FORECAST.LINEAR(AC$1,$D67:AB67,$D$1:AB$1),0)</f>
        <v>231027</v>
      </c>
      <c r="AD67" s="51">
        <f>ROUND(_xlfn.FORECAST.LINEAR(AD$1,$D67:AC67,$D$1:AC$1),0)</f>
        <v>234466</v>
      </c>
      <c r="AE67" s="51">
        <f>ROUND(_xlfn.FORECAST.LINEAR(AE$1,$D67:AD67,$D$1:AD$1),0)</f>
        <v>237904</v>
      </c>
      <c r="AF67" s="51">
        <f>ROUND(_xlfn.FORECAST.LINEAR(AF$1,$D67:AE67,$D$1:AE$1),0)</f>
        <v>241343</v>
      </c>
    </row>
    <row r="68" spans="1:32" ht="15" customHeight="1" x14ac:dyDescent="0.25">
      <c r="A68" s="2" t="s">
        <v>16</v>
      </c>
      <c r="B68" s="2" t="s">
        <v>13</v>
      </c>
      <c r="C68" s="11" t="s">
        <v>0</v>
      </c>
      <c r="D68" s="47">
        <f t="shared" si="3"/>
        <v>86680</v>
      </c>
      <c r="E68" s="47">
        <f t="shared" si="2"/>
        <v>88900</v>
      </c>
      <c r="F68" s="47">
        <f t="shared" si="2"/>
        <v>91410</v>
      </c>
      <c r="G68" s="47">
        <f t="shared" si="2"/>
        <v>94150</v>
      </c>
      <c r="H68" s="47">
        <f t="shared" si="2"/>
        <v>95059</v>
      </c>
      <c r="I68" s="47">
        <f t="shared" si="2"/>
        <v>95276</v>
      </c>
      <c r="J68" s="47">
        <f t="shared" si="2"/>
        <v>95161</v>
      </c>
      <c r="K68" s="47">
        <f t="shared" si="2"/>
        <v>94728</v>
      </c>
      <c r="L68" s="47">
        <f t="shared" si="2"/>
        <v>94847</v>
      </c>
      <c r="M68" s="47">
        <f t="shared" si="2"/>
        <v>94713</v>
      </c>
      <c r="N68" s="47">
        <f t="shared" si="2"/>
        <v>94471</v>
      </c>
      <c r="O68" s="47">
        <f t="shared" si="2"/>
        <v>94183</v>
      </c>
      <c r="P68" s="47">
        <f t="shared" si="2"/>
        <v>93386</v>
      </c>
      <c r="Q68" s="47">
        <f t="shared" si="2"/>
        <v>92071</v>
      </c>
      <c r="R68" s="47">
        <f t="shared" si="2"/>
        <v>90932</v>
      </c>
      <c r="S68" s="47">
        <f t="shared" si="2"/>
        <v>91313</v>
      </c>
      <c r="T68" s="47">
        <f t="shared" si="2"/>
        <v>90950</v>
      </c>
      <c r="U68" s="47">
        <f t="shared" si="2"/>
        <v>90138</v>
      </c>
      <c r="V68" s="51">
        <f>ROUND(_xlfn.FORECAST.LINEAR(V$1,$D68:U68,$D$1:U$1),0)</f>
        <v>92755</v>
      </c>
      <c r="W68" s="51">
        <f>ROUND(_xlfn.FORECAST.LINEAR(W$1,$D68:V68,$D$1:V$1),0)</f>
        <v>92762</v>
      </c>
      <c r="X68" s="51">
        <f>ROUND(_xlfn.FORECAST.LINEAR(X$1,$D68:W68,$D$1:W$1),0)</f>
        <v>92770</v>
      </c>
      <c r="Y68" s="51">
        <f>ROUND(_xlfn.FORECAST.LINEAR(Y$1,$D68:X68,$D$1:X$1),0)</f>
        <v>92777</v>
      </c>
      <c r="Z68" s="51">
        <f>ROUND(_xlfn.FORECAST.LINEAR(Z$1,$D68:Y68,$D$1:Y$1),0)</f>
        <v>92784</v>
      </c>
      <c r="AA68" s="51">
        <f>ROUND(_xlfn.FORECAST.LINEAR(AA$1,$D68:Z68,$D$1:Z$1),0)</f>
        <v>92791</v>
      </c>
      <c r="AB68" s="51">
        <f>ROUND(_xlfn.FORECAST.LINEAR(AB$1,$D68:AA68,$D$1:AA$1),0)</f>
        <v>92798</v>
      </c>
      <c r="AC68" s="51">
        <f>ROUND(_xlfn.FORECAST.LINEAR(AC$1,$D68:AB68,$D$1:AB$1),0)</f>
        <v>92805</v>
      </c>
      <c r="AD68" s="51">
        <f>ROUND(_xlfn.FORECAST.LINEAR(AD$1,$D68:AC68,$D$1:AC$1),0)</f>
        <v>92813</v>
      </c>
      <c r="AE68" s="51">
        <f>ROUND(_xlfn.FORECAST.LINEAR(AE$1,$D68:AD68,$D$1:AD$1),0)</f>
        <v>92820</v>
      </c>
      <c r="AF68" s="51">
        <f>ROUND(_xlfn.FORECAST.LINEAR(AF$1,$D68:AE68,$D$1:AE$1),0)</f>
        <v>92827</v>
      </c>
    </row>
    <row r="69" spans="1:32" ht="15" customHeight="1" x14ac:dyDescent="0.25">
      <c r="C69" s="11" t="s">
        <v>1</v>
      </c>
      <c r="D69" s="47">
        <f t="shared" si="3"/>
        <v>140927</v>
      </c>
      <c r="E69" s="47">
        <f t="shared" si="2"/>
        <v>140288</v>
      </c>
      <c r="F69" s="47">
        <f t="shared" si="2"/>
        <v>141591</v>
      </c>
      <c r="G69" s="47">
        <f t="shared" si="2"/>
        <v>143898</v>
      </c>
      <c r="H69" s="47">
        <f t="shared" si="2"/>
        <v>145675</v>
      </c>
      <c r="I69" s="47">
        <f t="shared" si="2"/>
        <v>146962</v>
      </c>
      <c r="J69" s="47">
        <f t="shared" si="2"/>
        <v>147824</v>
      </c>
      <c r="K69" s="47">
        <f t="shared" si="2"/>
        <v>147833</v>
      </c>
      <c r="L69" s="47">
        <f t="shared" si="2"/>
        <v>149038</v>
      </c>
      <c r="M69" s="47">
        <f t="shared" si="2"/>
        <v>149692</v>
      </c>
      <c r="N69" s="47">
        <f t="shared" si="2"/>
        <v>150244</v>
      </c>
      <c r="O69" s="47">
        <f t="shared" si="2"/>
        <v>150579</v>
      </c>
      <c r="P69" s="47">
        <f t="shared" si="2"/>
        <v>149503</v>
      </c>
      <c r="Q69" s="47">
        <f t="shared" si="2"/>
        <v>147238</v>
      </c>
      <c r="R69" s="47">
        <f t="shared" si="2"/>
        <v>145306</v>
      </c>
      <c r="S69" s="47">
        <f t="shared" si="2"/>
        <v>146233</v>
      </c>
      <c r="T69" s="47">
        <f t="shared" si="2"/>
        <v>143673</v>
      </c>
      <c r="U69" s="47">
        <f t="shared" si="2"/>
        <v>140655</v>
      </c>
      <c r="V69" s="51">
        <f>ROUND(_xlfn.FORECAST.LINEAR(V$1,$D69:U69,$D$1:U$1),0)</f>
        <v>147674</v>
      </c>
      <c r="W69" s="51">
        <f>ROUND(_xlfn.FORECAST.LINEAR(W$1,$D69:V69,$D$1:V$1),0)</f>
        <v>147855</v>
      </c>
      <c r="X69" s="51">
        <f>ROUND(_xlfn.FORECAST.LINEAR(X$1,$D69:W69,$D$1:W$1),0)</f>
        <v>148036</v>
      </c>
      <c r="Y69" s="51">
        <f>ROUND(_xlfn.FORECAST.LINEAR(Y$1,$D69:X69,$D$1:X$1),0)</f>
        <v>148217</v>
      </c>
      <c r="Z69" s="51">
        <f>ROUND(_xlfn.FORECAST.LINEAR(Z$1,$D69:Y69,$D$1:Y$1),0)</f>
        <v>148398</v>
      </c>
      <c r="AA69" s="51">
        <f>ROUND(_xlfn.FORECAST.LINEAR(AA$1,$D69:Z69,$D$1:Z$1),0)</f>
        <v>148579</v>
      </c>
      <c r="AB69" s="51">
        <f>ROUND(_xlfn.FORECAST.LINEAR(AB$1,$D69:AA69,$D$1:AA$1),0)</f>
        <v>148760</v>
      </c>
      <c r="AC69" s="51">
        <f>ROUND(_xlfn.FORECAST.LINEAR(AC$1,$D69:AB69,$D$1:AB$1),0)</f>
        <v>148941</v>
      </c>
      <c r="AD69" s="51">
        <f>ROUND(_xlfn.FORECAST.LINEAR(AD$1,$D69:AC69,$D$1:AC$1),0)</f>
        <v>149122</v>
      </c>
      <c r="AE69" s="51">
        <f>ROUND(_xlfn.FORECAST.LINEAR(AE$1,$D69:AD69,$D$1:AD$1),0)</f>
        <v>149304</v>
      </c>
      <c r="AF69" s="51">
        <f>ROUND(_xlfn.FORECAST.LINEAR(AF$1,$D69:AE69,$D$1:AE$1),0)</f>
        <v>149485</v>
      </c>
    </row>
    <row r="70" spans="1:32" ht="15" customHeight="1" x14ac:dyDescent="0.25">
      <c r="C70" s="11" t="s">
        <v>2</v>
      </c>
      <c r="D70" s="47">
        <f t="shared" si="3"/>
        <v>193282</v>
      </c>
      <c r="E70" s="47">
        <f t="shared" si="2"/>
        <v>192210</v>
      </c>
      <c r="F70" s="47">
        <f t="shared" si="2"/>
        <v>195152</v>
      </c>
      <c r="G70" s="47">
        <f t="shared" si="2"/>
        <v>196256</v>
      </c>
      <c r="H70" s="47">
        <f t="shared" si="2"/>
        <v>199881</v>
      </c>
      <c r="I70" s="47">
        <f t="shared" si="2"/>
        <v>204617</v>
      </c>
      <c r="J70" s="47">
        <f t="shared" si="2"/>
        <v>209611</v>
      </c>
      <c r="K70" s="47">
        <f t="shared" si="2"/>
        <v>213415</v>
      </c>
      <c r="L70" s="47">
        <f t="shared" si="2"/>
        <v>217976</v>
      </c>
      <c r="M70" s="47">
        <f t="shared" si="2"/>
        <v>222528</v>
      </c>
      <c r="N70" s="47">
        <f t="shared" si="2"/>
        <v>225930</v>
      </c>
      <c r="O70" s="47">
        <f t="shared" si="2"/>
        <v>229661</v>
      </c>
      <c r="P70" s="47">
        <f t="shared" si="2"/>
        <v>231841</v>
      </c>
      <c r="Q70" s="47">
        <f t="shared" si="2"/>
        <v>234063</v>
      </c>
      <c r="R70" s="47">
        <f t="shared" si="2"/>
        <v>234373</v>
      </c>
      <c r="S70" s="47">
        <f t="shared" si="2"/>
        <v>234343</v>
      </c>
      <c r="T70" s="47">
        <f t="shared" si="2"/>
        <v>231613</v>
      </c>
      <c r="U70" s="47">
        <f t="shared" si="2"/>
        <v>227691</v>
      </c>
      <c r="V70" s="51">
        <f>ROUND(_xlfn.FORECAST.LINEAR(V$1,$D70:U70,$D$1:U$1),0)</f>
        <v>243273</v>
      </c>
      <c r="W70" s="51">
        <f>ROUND(_xlfn.FORECAST.LINEAR(W$1,$D70:V70,$D$1:V$1),0)</f>
        <v>246106</v>
      </c>
      <c r="X70" s="51">
        <f>ROUND(_xlfn.FORECAST.LINEAR(X$1,$D70:W70,$D$1:W$1),0)</f>
        <v>248939</v>
      </c>
      <c r="Y70" s="51">
        <f>ROUND(_xlfn.FORECAST.LINEAR(Y$1,$D70:X70,$D$1:X$1),0)</f>
        <v>251772</v>
      </c>
      <c r="Z70" s="51">
        <f>ROUND(_xlfn.FORECAST.LINEAR(Z$1,$D70:Y70,$D$1:Y$1),0)</f>
        <v>254605</v>
      </c>
      <c r="AA70" s="51">
        <f>ROUND(_xlfn.FORECAST.LINEAR(AA$1,$D70:Z70,$D$1:Z$1),0)</f>
        <v>257438</v>
      </c>
      <c r="AB70" s="51">
        <f>ROUND(_xlfn.FORECAST.LINEAR(AB$1,$D70:AA70,$D$1:AA$1),0)</f>
        <v>260272</v>
      </c>
      <c r="AC70" s="51">
        <f>ROUND(_xlfn.FORECAST.LINEAR(AC$1,$D70:AB70,$D$1:AB$1),0)</f>
        <v>263105</v>
      </c>
      <c r="AD70" s="51">
        <f>ROUND(_xlfn.FORECAST.LINEAR(AD$1,$D70:AC70,$D$1:AC$1),0)</f>
        <v>265938</v>
      </c>
      <c r="AE70" s="51">
        <f>ROUND(_xlfn.FORECAST.LINEAR(AE$1,$D70:AD70,$D$1:AD$1),0)</f>
        <v>268771</v>
      </c>
      <c r="AF70" s="51">
        <f>ROUND(_xlfn.FORECAST.LINEAR(AF$1,$D70:AE70,$D$1:AE$1),0)</f>
        <v>271604</v>
      </c>
    </row>
    <row r="71" spans="1:32" ht="15" customHeight="1" x14ac:dyDescent="0.25">
      <c r="A71" s="2" t="s">
        <v>17</v>
      </c>
      <c r="B71" s="2" t="s">
        <v>11</v>
      </c>
      <c r="C71" s="11" t="s">
        <v>0</v>
      </c>
      <c r="D71" s="47">
        <f>D27+D33</f>
        <v>50330</v>
      </c>
      <c r="E71" s="47">
        <f t="shared" ref="E71:U76" si="4">E27+E33</f>
        <v>49320</v>
      </c>
      <c r="F71" s="47">
        <f t="shared" si="4"/>
        <v>48670</v>
      </c>
      <c r="G71" s="47">
        <f t="shared" si="4"/>
        <v>47730</v>
      </c>
      <c r="H71" s="47">
        <f t="shared" si="4"/>
        <v>47699</v>
      </c>
      <c r="I71" s="47">
        <f t="shared" si="4"/>
        <v>47850</v>
      </c>
      <c r="J71" s="47">
        <f t="shared" si="4"/>
        <v>48327</v>
      </c>
      <c r="K71" s="47">
        <f t="shared" si="4"/>
        <v>49175</v>
      </c>
      <c r="L71" s="47">
        <f t="shared" si="4"/>
        <v>50104</v>
      </c>
      <c r="M71" s="47">
        <f t="shared" si="4"/>
        <v>50640</v>
      </c>
      <c r="N71" s="47">
        <f t="shared" si="4"/>
        <v>51919</v>
      </c>
      <c r="O71" s="47">
        <f t="shared" si="4"/>
        <v>53808</v>
      </c>
      <c r="P71" s="47">
        <f t="shared" si="4"/>
        <v>55924</v>
      </c>
      <c r="Q71" s="47">
        <f t="shared" si="4"/>
        <v>58284</v>
      </c>
      <c r="R71" s="47">
        <f t="shared" si="4"/>
        <v>59203</v>
      </c>
      <c r="S71" s="47">
        <f t="shared" si="4"/>
        <v>60287</v>
      </c>
      <c r="T71" s="47">
        <f t="shared" si="4"/>
        <v>61565</v>
      </c>
      <c r="U71" s="47">
        <f t="shared" si="4"/>
        <v>62601</v>
      </c>
      <c r="V71" s="51">
        <f>ROUND(_xlfn.FORECAST.LINEAR(V$1,$D71:U71,$D$1:U$1),0)</f>
        <v>61375</v>
      </c>
      <c r="W71" s="51">
        <f>ROUND(_xlfn.FORECAST.LINEAR(W$1,$D71:V71,$D$1:V$1),0)</f>
        <v>62260</v>
      </c>
      <c r="X71" s="51">
        <f>ROUND(_xlfn.FORECAST.LINEAR(X$1,$D71:W71,$D$1:W$1),0)</f>
        <v>63145</v>
      </c>
      <c r="Y71" s="51">
        <f>ROUND(_xlfn.FORECAST.LINEAR(Y$1,$D71:X71,$D$1:X$1),0)</f>
        <v>64030</v>
      </c>
      <c r="Z71" s="51">
        <f>ROUND(_xlfn.FORECAST.LINEAR(Z$1,$D71:Y71,$D$1:Y$1),0)</f>
        <v>64915</v>
      </c>
      <c r="AA71" s="51">
        <f>ROUND(_xlfn.FORECAST.LINEAR(AA$1,$D71:Z71,$D$1:Z$1),0)</f>
        <v>65800</v>
      </c>
      <c r="AB71" s="51">
        <f>ROUND(_xlfn.FORECAST.LINEAR(AB$1,$D71:AA71,$D$1:AA$1),0)</f>
        <v>66685</v>
      </c>
      <c r="AC71" s="51">
        <f>ROUND(_xlfn.FORECAST.LINEAR(AC$1,$D71:AB71,$D$1:AB$1),0)</f>
        <v>67570</v>
      </c>
      <c r="AD71" s="51">
        <f>ROUND(_xlfn.FORECAST.LINEAR(AD$1,$D71:AC71,$D$1:AC$1),0)</f>
        <v>68455</v>
      </c>
      <c r="AE71" s="51">
        <f>ROUND(_xlfn.FORECAST.LINEAR(AE$1,$D71:AD71,$D$1:AD$1),0)</f>
        <v>69340</v>
      </c>
      <c r="AF71" s="51">
        <f>ROUND(_xlfn.FORECAST.LINEAR(AF$1,$D71:AE71,$D$1:AE$1),0)</f>
        <v>70225</v>
      </c>
    </row>
    <row r="72" spans="1:32" ht="15" customHeight="1" x14ac:dyDescent="0.25">
      <c r="C72" s="11" t="s">
        <v>1</v>
      </c>
      <c r="D72" s="47">
        <f t="shared" ref="D72:S76" si="5">D28+D34</f>
        <v>83250</v>
      </c>
      <c r="E72" s="47">
        <f t="shared" si="5"/>
        <v>82433</v>
      </c>
      <c r="F72" s="47">
        <f t="shared" si="5"/>
        <v>81290</v>
      </c>
      <c r="G72" s="47">
        <f t="shared" si="5"/>
        <v>79104</v>
      </c>
      <c r="H72" s="47">
        <f t="shared" si="5"/>
        <v>77073</v>
      </c>
      <c r="I72" s="47">
        <f t="shared" si="5"/>
        <v>75802</v>
      </c>
      <c r="J72" s="47">
        <f t="shared" si="5"/>
        <v>75145</v>
      </c>
      <c r="K72" s="47">
        <f t="shared" si="5"/>
        <v>74767</v>
      </c>
      <c r="L72" s="47">
        <f t="shared" si="5"/>
        <v>74513</v>
      </c>
      <c r="M72" s="47">
        <f t="shared" si="5"/>
        <v>73889</v>
      </c>
      <c r="N72" s="47">
        <f t="shared" si="5"/>
        <v>74220</v>
      </c>
      <c r="O72" s="47">
        <f t="shared" si="5"/>
        <v>74782</v>
      </c>
      <c r="P72" s="47">
        <f t="shared" si="5"/>
        <v>76548</v>
      </c>
      <c r="Q72" s="47">
        <f t="shared" si="5"/>
        <v>78893</v>
      </c>
      <c r="R72" s="47">
        <f t="shared" si="5"/>
        <v>80198</v>
      </c>
      <c r="S72" s="47">
        <f t="shared" si="5"/>
        <v>83302</v>
      </c>
      <c r="T72" s="47">
        <f t="shared" si="4"/>
        <v>85472</v>
      </c>
      <c r="U72" s="47">
        <f t="shared" si="4"/>
        <v>86916</v>
      </c>
      <c r="V72" s="51">
        <f>ROUND(_xlfn.FORECAST.LINEAR(V$1,$D72:U72,$D$1:U$1),0)</f>
        <v>80359</v>
      </c>
      <c r="W72" s="51">
        <f>ROUND(_xlfn.FORECAST.LINEAR(W$1,$D72:V72,$D$1:V$1),0)</f>
        <v>80528</v>
      </c>
      <c r="X72" s="51">
        <f>ROUND(_xlfn.FORECAST.LINEAR(X$1,$D72:W72,$D$1:W$1),0)</f>
        <v>80697</v>
      </c>
      <c r="Y72" s="51">
        <f>ROUND(_xlfn.FORECAST.LINEAR(Y$1,$D72:X72,$D$1:X$1),0)</f>
        <v>80866</v>
      </c>
      <c r="Z72" s="51">
        <f>ROUND(_xlfn.FORECAST.LINEAR(Z$1,$D72:Y72,$D$1:Y$1),0)</f>
        <v>81035</v>
      </c>
      <c r="AA72" s="51">
        <f>ROUND(_xlfn.FORECAST.LINEAR(AA$1,$D72:Z72,$D$1:Z$1),0)</f>
        <v>81204</v>
      </c>
      <c r="AB72" s="51">
        <f>ROUND(_xlfn.FORECAST.LINEAR(AB$1,$D72:AA72,$D$1:AA$1),0)</f>
        <v>81373</v>
      </c>
      <c r="AC72" s="51">
        <f>ROUND(_xlfn.FORECAST.LINEAR(AC$1,$D72:AB72,$D$1:AB$1),0)</f>
        <v>81541</v>
      </c>
      <c r="AD72" s="51">
        <f>ROUND(_xlfn.FORECAST.LINEAR(AD$1,$D72:AC72,$D$1:AC$1),0)</f>
        <v>81710</v>
      </c>
      <c r="AE72" s="51">
        <f>ROUND(_xlfn.FORECAST.LINEAR(AE$1,$D72:AD72,$D$1:AD$1),0)</f>
        <v>81879</v>
      </c>
      <c r="AF72" s="51">
        <f>ROUND(_xlfn.FORECAST.LINEAR(AF$1,$D72:AE72,$D$1:AE$1),0)</f>
        <v>82048</v>
      </c>
    </row>
    <row r="73" spans="1:32" ht="15" customHeight="1" x14ac:dyDescent="0.25">
      <c r="C73" s="11" t="s">
        <v>2</v>
      </c>
      <c r="D73" s="47">
        <f t="shared" si="5"/>
        <v>118019</v>
      </c>
      <c r="E73" s="47">
        <f t="shared" si="4"/>
        <v>116169</v>
      </c>
      <c r="F73" s="47">
        <f t="shared" si="4"/>
        <v>113208</v>
      </c>
      <c r="G73" s="47">
        <f t="shared" si="4"/>
        <v>111293</v>
      </c>
      <c r="H73" s="47">
        <f t="shared" si="4"/>
        <v>107919</v>
      </c>
      <c r="I73" s="47">
        <f t="shared" si="4"/>
        <v>105793</v>
      </c>
      <c r="J73" s="47">
        <f t="shared" si="4"/>
        <v>104417</v>
      </c>
      <c r="K73" s="47">
        <f t="shared" si="4"/>
        <v>104970</v>
      </c>
      <c r="L73" s="47">
        <f t="shared" si="4"/>
        <v>105283</v>
      </c>
      <c r="M73" s="47">
        <f t="shared" si="4"/>
        <v>105394</v>
      </c>
      <c r="N73" s="47">
        <f t="shared" si="4"/>
        <v>106035</v>
      </c>
      <c r="O73" s="47">
        <f t="shared" si="4"/>
        <v>107170</v>
      </c>
      <c r="P73" s="47">
        <f t="shared" si="4"/>
        <v>110603</v>
      </c>
      <c r="Q73" s="47">
        <f t="shared" si="4"/>
        <v>114952</v>
      </c>
      <c r="R73" s="47">
        <f t="shared" si="4"/>
        <v>117752</v>
      </c>
      <c r="S73" s="47">
        <f t="shared" si="4"/>
        <v>123130</v>
      </c>
      <c r="T73" s="47">
        <f t="shared" si="4"/>
        <v>128871</v>
      </c>
      <c r="U73" s="47">
        <f t="shared" si="4"/>
        <v>133993</v>
      </c>
      <c r="V73" s="51">
        <f>ROUND(_xlfn.FORECAST.LINEAR(V$1,$D73:U73,$D$1:U$1),0)</f>
        <v>120663</v>
      </c>
      <c r="W73" s="51">
        <f>ROUND(_xlfn.FORECAST.LINEAR(W$1,$D73:V73,$D$1:V$1),0)</f>
        <v>121464</v>
      </c>
      <c r="X73" s="51">
        <f>ROUND(_xlfn.FORECAST.LINEAR(X$1,$D73:W73,$D$1:W$1),0)</f>
        <v>122265</v>
      </c>
      <c r="Y73" s="51">
        <f>ROUND(_xlfn.FORECAST.LINEAR(Y$1,$D73:X73,$D$1:X$1),0)</f>
        <v>123066</v>
      </c>
      <c r="Z73" s="51">
        <f>ROUND(_xlfn.FORECAST.LINEAR(Z$1,$D73:Y73,$D$1:Y$1),0)</f>
        <v>123867</v>
      </c>
      <c r="AA73" s="51">
        <f>ROUND(_xlfn.FORECAST.LINEAR(AA$1,$D73:Z73,$D$1:Z$1),0)</f>
        <v>124668</v>
      </c>
      <c r="AB73" s="51">
        <f>ROUND(_xlfn.FORECAST.LINEAR(AB$1,$D73:AA73,$D$1:AA$1),0)</f>
        <v>125469</v>
      </c>
      <c r="AC73" s="51">
        <f>ROUND(_xlfn.FORECAST.LINEAR(AC$1,$D73:AB73,$D$1:AB$1),0)</f>
        <v>126270</v>
      </c>
      <c r="AD73" s="51">
        <f>ROUND(_xlfn.FORECAST.LINEAR(AD$1,$D73:AC73,$D$1:AC$1),0)</f>
        <v>127071</v>
      </c>
      <c r="AE73" s="51">
        <f>ROUND(_xlfn.FORECAST.LINEAR(AE$1,$D73:AD73,$D$1:AD$1),0)</f>
        <v>127872</v>
      </c>
      <c r="AF73" s="51">
        <f>ROUND(_xlfn.FORECAST.LINEAR(AF$1,$D73:AE73,$D$1:AE$1),0)</f>
        <v>128673</v>
      </c>
    </row>
    <row r="74" spans="1:32" ht="15" customHeight="1" x14ac:dyDescent="0.25">
      <c r="A74" s="2" t="s">
        <v>17</v>
      </c>
      <c r="B74" s="2" t="s">
        <v>13</v>
      </c>
      <c r="C74" s="11" t="s">
        <v>0</v>
      </c>
      <c r="D74" s="47">
        <f t="shared" si="5"/>
        <v>83370</v>
      </c>
      <c r="E74" s="47">
        <f t="shared" si="4"/>
        <v>81800</v>
      </c>
      <c r="F74" s="47">
        <f t="shared" si="4"/>
        <v>80570</v>
      </c>
      <c r="G74" s="47">
        <f t="shared" si="4"/>
        <v>78660</v>
      </c>
      <c r="H74" s="47">
        <f t="shared" si="4"/>
        <v>78103</v>
      </c>
      <c r="I74" s="47">
        <f t="shared" si="4"/>
        <v>77217</v>
      </c>
      <c r="J74" s="47">
        <f t="shared" si="4"/>
        <v>77014</v>
      </c>
      <c r="K74" s="47">
        <f t="shared" si="4"/>
        <v>77328</v>
      </c>
      <c r="L74" s="47">
        <f t="shared" si="4"/>
        <v>77953</v>
      </c>
      <c r="M74" s="47">
        <f t="shared" si="4"/>
        <v>77973</v>
      </c>
      <c r="N74" s="47">
        <f t="shared" si="4"/>
        <v>79289</v>
      </c>
      <c r="O74" s="47">
        <f t="shared" si="4"/>
        <v>81640</v>
      </c>
      <c r="P74" s="47">
        <f t="shared" si="4"/>
        <v>84286</v>
      </c>
      <c r="Q74" s="47">
        <f t="shared" si="4"/>
        <v>87066</v>
      </c>
      <c r="R74" s="47">
        <f t="shared" si="4"/>
        <v>87979</v>
      </c>
      <c r="S74" s="47">
        <f t="shared" si="4"/>
        <v>89611</v>
      </c>
      <c r="T74" s="47">
        <f t="shared" si="4"/>
        <v>90531</v>
      </c>
      <c r="U74" s="47">
        <f t="shared" si="4"/>
        <v>90874</v>
      </c>
      <c r="V74" s="51">
        <f>ROUND(_xlfn.FORECAST.LINEAR(V$1,$D74:U74,$D$1:U$1),0)</f>
        <v>88545</v>
      </c>
      <c r="W74" s="51">
        <f>ROUND(_xlfn.FORECAST.LINEAR(W$1,$D74:V74,$D$1:V$1),0)</f>
        <v>89203</v>
      </c>
      <c r="X74" s="51">
        <f>ROUND(_xlfn.FORECAST.LINEAR(X$1,$D74:W74,$D$1:W$1),0)</f>
        <v>89861</v>
      </c>
      <c r="Y74" s="51">
        <f>ROUND(_xlfn.FORECAST.LINEAR(Y$1,$D74:X74,$D$1:X$1),0)</f>
        <v>90519</v>
      </c>
      <c r="Z74" s="51">
        <f>ROUND(_xlfn.FORECAST.LINEAR(Z$1,$D74:Y74,$D$1:Y$1),0)</f>
        <v>91177</v>
      </c>
      <c r="AA74" s="51">
        <f>ROUND(_xlfn.FORECAST.LINEAR(AA$1,$D74:Z74,$D$1:Z$1),0)</f>
        <v>91836</v>
      </c>
      <c r="AB74" s="51">
        <f>ROUND(_xlfn.FORECAST.LINEAR(AB$1,$D74:AA74,$D$1:AA$1),0)</f>
        <v>92494</v>
      </c>
      <c r="AC74" s="51">
        <f>ROUND(_xlfn.FORECAST.LINEAR(AC$1,$D74:AB74,$D$1:AB$1),0)</f>
        <v>93152</v>
      </c>
      <c r="AD74" s="51">
        <f>ROUND(_xlfn.FORECAST.LINEAR(AD$1,$D74:AC74,$D$1:AC$1),0)</f>
        <v>93810</v>
      </c>
      <c r="AE74" s="51">
        <f>ROUND(_xlfn.FORECAST.LINEAR(AE$1,$D74:AD74,$D$1:AD$1),0)</f>
        <v>94468</v>
      </c>
      <c r="AF74" s="51">
        <f>ROUND(_xlfn.FORECAST.LINEAR(AF$1,$D74:AE74,$D$1:AE$1),0)</f>
        <v>95126</v>
      </c>
    </row>
    <row r="75" spans="1:32" ht="15" customHeight="1" x14ac:dyDescent="0.25">
      <c r="C75" s="11" t="s">
        <v>1</v>
      </c>
      <c r="D75" s="47">
        <f t="shared" si="5"/>
        <v>143098</v>
      </c>
      <c r="E75" s="47">
        <f t="shared" si="4"/>
        <v>141631</v>
      </c>
      <c r="F75" s="47">
        <f t="shared" si="4"/>
        <v>140116</v>
      </c>
      <c r="G75" s="47">
        <f t="shared" si="4"/>
        <v>136738</v>
      </c>
      <c r="H75" s="47">
        <f t="shared" si="4"/>
        <v>133238</v>
      </c>
      <c r="I75" s="47">
        <f t="shared" si="4"/>
        <v>130179</v>
      </c>
      <c r="J75" s="47">
        <f t="shared" si="4"/>
        <v>127795</v>
      </c>
      <c r="K75" s="47">
        <f t="shared" si="4"/>
        <v>126755</v>
      </c>
      <c r="L75" s="47">
        <f t="shared" si="4"/>
        <v>124775</v>
      </c>
      <c r="M75" s="47">
        <f t="shared" si="4"/>
        <v>122984</v>
      </c>
      <c r="N75" s="47">
        <f t="shared" si="4"/>
        <v>122065</v>
      </c>
      <c r="O75" s="47">
        <f t="shared" si="4"/>
        <v>121919</v>
      </c>
      <c r="P75" s="47">
        <f t="shared" si="4"/>
        <v>123626</v>
      </c>
      <c r="Q75" s="47">
        <f t="shared" si="4"/>
        <v>126366</v>
      </c>
      <c r="R75" s="47">
        <f t="shared" si="4"/>
        <v>128068</v>
      </c>
      <c r="S75" s="47">
        <f t="shared" si="4"/>
        <v>131370</v>
      </c>
      <c r="T75" s="47">
        <f t="shared" si="4"/>
        <v>132494</v>
      </c>
      <c r="U75" s="47">
        <f t="shared" si="4"/>
        <v>133053</v>
      </c>
      <c r="V75" s="51">
        <f>ROUND(_xlfn.FORECAST.LINEAR(V$1,$D75:U75,$D$1:U$1),0)</f>
        <v>123781</v>
      </c>
      <c r="W75" s="51">
        <f>ROUND(_xlfn.FORECAST.LINEAR(W$1,$D75:V75,$D$1:V$1),0)</f>
        <v>123090</v>
      </c>
      <c r="X75" s="51">
        <f>ROUND(_xlfn.FORECAST.LINEAR(X$1,$D75:W75,$D$1:W$1),0)</f>
        <v>122399</v>
      </c>
      <c r="Y75" s="51">
        <f>ROUND(_xlfn.FORECAST.LINEAR(Y$1,$D75:X75,$D$1:X$1),0)</f>
        <v>121707</v>
      </c>
      <c r="Z75" s="51">
        <f>ROUND(_xlfn.FORECAST.LINEAR(Z$1,$D75:Y75,$D$1:Y$1),0)</f>
        <v>121016</v>
      </c>
      <c r="AA75" s="51">
        <f>ROUND(_xlfn.FORECAST.LINEAR(AA$1,$D75:Z75,$D$1:Z$1),0)</f>
        <v>120325</v>
      </c>
      <c r="AB75" s="51">
        <f>ROUND(_xlfn.FORECAST.LINEAR(AB$1,$D75:AA75,$D$1:AA$1),0)</f>
        <v>119634</v>
      </c>
      <c r="AC75" s="51">
        <f>ROUND(_xlfn.FORECAST.LINEAR(AC$1,$D75:AB75,$D$1:AB$1),0)</f>
        <v>118942</v>
      </c>
      <c r="AD75" s="51">
        <f>ROUND(_xlfn.FORECAST.LINEAR(AD$1,$D75:AC75,$D$1:AC$1),0)</f>
        <v>118251</v>
      </c>
      <c r="AE75" s="51">
        <f>ROUND(_xlfn.FORECAST.LINEAR(AE$1,$D75:AD75,$D$1:AD$1),0)</f>
        <v>117560</v>
      </c>
      <c r="AF75" s="51">
        <f>ROUND(_xlfn.FORECAST.LINEAR(AF$1,$D75:AE75,$D$1:AE$1),0)</f>
        <v>116868</v>
      </c>
    </row>
    <row r="76" spans="1:32" ht="15" customHeight="1" x14ac:dyDescent="0.25">
      <c r="C76" s="11" t="s">
        <v>2</v>
      </c>
      <c r="D76" s="47">
        <f t="shared" si="5"/>
        <v>192673</v>
      </c>
      <c r="E76" s="47">
        <f t="shared" si="4"/>
        <v>190434</v>
      </c>
      <c r="F76" s="47">
        <f t="shared" si="4"/>
        <v>186100</v>
      </c>
      <c r="G76" s="47">
        <f t="shared" si="4"/>
        <v>183421</v>
      </c>
      <c r="H76" s="47">
        <f t="shared" si="4"/>
        <v>178299</v>
      </c>
      <c r="I76" s="47">
        <f t="shared" si="4"/>
        <v>174362</v>
      </c>
      <c r="J76" s="47">
        <f t="shared" si="4"/>
        <v>172026</v>
      </c>
      <c r="K76" s="47">
        <f t="shared" si="4"/>
        <v>172313</v>
      </c>
      <c r="L76" s="47">
        <f t="shared" si="4"/>
        <v>172020</v>
      </c>
      <c r="M76" s="47">
        <f t="shared" si="4"/>
        <v>171187</v>
      </c>
      <c r="N76" s="47">
        <f t="shared" si="4"/>
        <v>170226</v>
      </c>
      <c r="O76" s="47">
        <f t="shared" si="4"/>
        <v>170073</v>
      </c>
      <c r="P76" s="47">
        <f t="shared" si="4"/>
        <v>173362</v>
      </c>
      <c r="Q76" s="47">
        <f t="shared" si="4"/>
        <v>176081</v>
      </c>
      <c r="R76" s="47">
        <f t="shared" si="4"/>
        <v>179877</v>
      </c>
      <c r="S76" s="47">
        <f t="shared" si="4"/>
        <v>186172</v>
      </c>
      <c r="T76" s="47">
        <f t="shared" si="4"/>
        <v>192215</v>
      </c>
      <c r="U76" s="47">
        <f t="shared" si="4"/>
        <v>197155</v>
      </c>
      <c r="V76" s="51">
        <f>ROUND(_xlfn.FORECAST.LINEAR(V$1,$D76:U76,$D$1:U$1),0)</f>
        <v>180095</v>
      </c>
      <c r="W76" s="51">
        <f>ROUND(_xlfn.FORECAST.LINEAR(W$1,$D76:V76,$D$1:V$1),0)</f>
        <v>180117</v>
      </c>
      <c r="X76" s="51">
        <f>ROUND(_xlfn.FORECAST.LINEAR(X$1,$D76:W76,$D$1:W$1),0)</f>
        <v>180138</v>
      </c>
      <c r="Y76" s="51">
        <f>ROUND(_xlfn.FORECAST.LINEAR(Y$1,$D76:X76,$D$1:X$1),0)</f>
        <v>180160</v>
      </c>
      <c r="Z76" s="51">
        <f>ROUND(_xlfn.FORECAST.LINEAR(Z$1,$D76:Y76,$D$1:Y$1),0)</f>
        <v>180182</v>
      </c>
      <c r="AA76" s="51">
        <f>ROUND(_xlfn.FORECAST.LINEAR(AA$1,$D76:Z76,$D$1:Z$1),0)</f>
        <v>180204</v>
      </c>
      <c r="AB76" s="51">
        <f>ROUND(_xlfn.FORECAST.LINEAR(AB$1,$D76:AA76,$D$1:AA$1),0)</f>
        <v>180225</v>
      </c>
      <c r="AC76" s="51">
        <f>ROUND(_xlfn.FORECAST.LINEAR(AC$1,$D76:AB76,$D$1:AB$1),0)</f>
        <v>180247</v>
      </c>
      <c r="AD76" s="51">
        <f>ROUND(_xlfn.FORECAST.LINEAR(AD$1,$D76:AC76,$D$1:AC$1),0)</f>
        <v>180269</v>
      </c>
      <c r="AE76" s="51">
        <f>ROUND(_xlfn.FORECAST.LINEAR(AE$1,$D76:AD76,$D$1:AD$1),0)</f>
        <v>180290</v>
      </c>
      <c r="AF76" s="51">
        <f>ROUND(_xlfn.FORECAST.LINEAR(AF$1,$D76:AE76,$D$1:AE$1),0)</f>
        <v>180312</v>
      </c>
    </row>
    <row r="77" spans="1:32" ht="15" customHeight="1" x14ac:dyDescent="0.25">
      <c r="A77" s="2" t="s">
        <v>18</v>
      </c>
      <c r="B77" s="2" t="s">
        <v>11</v>
      </c>
      <c r="C77" s="11" t="s">
        <v>0</v>
      </c>
      <c r="D77" s="47">
        <f>D39+D45</f>
        <v>23860</v>
      </c>
      <c r="E77" s="47">
        <f t="shared" ref="E77:U82" si="6">E39+E45</f>
        <v>24210</v>
      </c>
      <c r="F77" s="47">
        <f t="shared" si="6"/>
        <v>24410</v>
      </c>
      <c r="G77" s="47">
        <f t="shared" si="6"/>
        <v>24880</v>
      </c>
      <c r="H77" s="47">
        <f t="shared" si="6"/>
        <v>25573</v>
      </c>
      <c r="I77" s="47">
        <f t="shared" si="6"/>
        <v>26322</v>
      </c>
      <c r="J77" s="47">
        <f t="shared" si="6"/>
        <v>27026</v>
      </c>
      <c r="K77" s="47">
        <f t="shared" si="6"/>
        <v>27753</v>
      </c>
      <c r="L77" s="47">
        <f t="shared" si="6"/>
        <v>28099</v>
      </c>
      <c r="M77" s="47">
        <f t="shared" si="6"/>
        <v>28828</v>
      </c>
      <c r="N77" s="47">
        <f t="shared" si="6"/>
        <v>29050</v>
      </c>
      <c r="O77" s="47">
        <f t="shared" si="6"/>
        <v>28773</v>
      </c>
      <c r="P77" s="47">
        <f t="shared" si="6"/>
        <v>28589</v>
      </c>
      <c r="Q77" s="47">
        <f t="shared" si="6"/>
        <v>28144</v>
      </c>
      <c r="R77" s="47">
        <f t="shared" si="6"/>
        <v>27968</v>
      </c>
      <c r="S77" s="47">
        <f t="shared" si="6"/>
        <v>28391</v>
      </c>
      <c r="T77" s="47">
        <f t="shared" si="6"/>
        <v>29080</v>
      </c>
      <c r="U77" s="47">
        <f t="shared" si="6"/>
        <v>30053</v>
      </c>
      <c r="V77" s="51">
        <f>ROUND(_xlfn.FORECAST.LINEAR(V$1,$D77:U77,$D$1:U$1),0)</f>
        <v>30380</v>
      </c>
      <c r="W77" s="51">
        <f>ROUND(_xlfn.FORECAST.LINEAR(W$1,$D77:V77,$D$1:V$1),0)</f>
        <v>30707</v>
      </c>
      <c r="X77" s="51">
        <f>ROUND(_xlfn.FORECAST.LINEAR(X$1,$D77:W77,$D$1:W$1),0)</f>
        <v>31033</v>
      </c>
      <c r="Y77" s="51">
        <f>ROUND(_xlfn.FORECAST.LINEAR(Y$1,$D77:X77,$D$1:X$1),0)</f>
        <v>31360</v>
      </c>
      <c r="Z77" s="51">
        <f>ROUND(_xlfn.FORECAST.LINEAR(Z$1,$D77:Y77,$D$1:Y$1),0)</f>
        <v>31686</v>
      </c>
      <c r="AA77" s="51">
        <f>ROUND(_xlfn.FORECAST.LINEAR(AA$1,$D77:Z77,$D$1:Z$1),0)</f>
        <v>32013</v>
      </c>
      <c r="AB77" s="51">
        <f>ROUND(_xlfn.FORECAST.LINEAR(AB$1,$D77:AA77,$D$1:AA$1),0)</f>
        <v>32339</v>
      </c>
      <c r="AC77" s="51">
        <f>ROUND(_xlfn.FORECAST.LINEAR(AC$1,$D77:AB77,$D$1:AB$1),0)</f>
        <v>32666</v>
      </c>
      <c r="AD77" s="51">
        <f>ROUND(_xlfn.FORECAST.LINEAR(AD$1,$D77:AC77,$D$1:AC$1),0)</f>
        <v>32992</v>
      </c>
      <c r="AE77" s="51">
        <f>ROUND(_xlfn.FORECAST.LINEAR(AE$1,$D77:AD77,$D$1:AD$1),0)</f>
        <v>33319</v>
      </c>
      <c r="AF77" s="51">
        <f>ROUND(_xlfn.FORECAST.LINEAR(AF$1,$D77:AE77,$D$1:AE$1),0)</f>
        <v>33645</v>
      </c>
    </row>
    <row r="78" spans="1:32" ht="15" customHeight="1" x14ac:dyDescent="0.25">
      <c r="C78" s="11" t="s">
        <v>1</v>
      </c>
      <c r="D78" s="47">
        <f t="shared" ref="D78:S82" si="7">D40+D46</f>
        <v>36900</v>
      </c>
      <c r="E78" s="47">
        <f t="shared" si="7"/>
        <v>37326</v>
      </c>
      <c r="F78" s="47">
        <f t="shared" si="7"/>
        <v>37565</v>
      </c>
      <c r="G78" s="47">
        <f t="shared" si="7"/>
        <v>38091</v>
      </c>
      <c r="H78" s="47">
        <f t="shared" si="7"/>
        <v>38981</v>
      </c>
      <c r="I78" s="47">
        <f t="shared" si="7"/>
        <v>39930</v>
      </c>
      <c r="J78" s="47">
        <f t="shared" si="7"/>
        <v>41026</v>
      </c>
      <c r="K78" s="47">
        <f t="shared" si="7"/>
        <v>42050</v>
      </c>
      <c r="L78" s="47">
        <f t="shared" si="7"/>
        <v>42724</v>
      </c>
      <c r="M78" s="47">
        <f t="shared" si="7"/>
        <v>43714</v>
      </c>
      <c r="N78" s="47">
        <f t="shared" si="7"/>
        <v>43731</v>
      </c>
      <c r="O78" s="47">
        <f t="shared" si="7"/>
        <v>43428</v>
      </c>
      <c r="P78" s="47">
        <f t="shared" si="7"/>
        <v>42907</v>
      </c>
      <c r="Q78" s="47">
        <f t="shared" si="7"/>
        <v>41744</v>
      </c>
      <c r="R78" s="47">
        <f t="shared" si="7"/>
        <v>40104</v>
      </c>
      <c r="S78" s="47">
        <f t="shared" si="7"/>
        <v>39622</v>
      </c>
      <c r="T78" s="47">
        <f t="shared" si="6"/>
        <v>39878</v>
      </c>
      <c r="U78" s="47">
        <f t="shared" si="6"/>
        <v>40273</v>
      </c>
      <c r="V78" s="51">
        <f>ROUND(_xlfn.FORECAST.LINEAR(V$1,$D78:U78,$D$1:U$1),0)</f>
        <v>42597</v>
      </c>
      <c r="W78" s="51">
        <f>ROUND(_xlfn.FORECAST.LINEAR(W$1,$D78:V78,$D$1:V$1),0)</f>
        <v>42812</v>
      </c>
      <c r="X78" s="51">
        <f>ROUND(_xlfn.FORECAST.LINEAR(X$1,$D78:W78,$D$1:W$1),0)</f>
        <v>43027</v>
      </c>
      <c r="Y78" s="51">
        <f>ROUND(_xlfn.FORECAST.LINEAR(Y$1,$D78:X78,$D$1:X$1),0)</f>
        <v>43242</v>
      </c>
      <c r="Z78" s="51">
        <f>ROUND(_xlfn.FORECAST.LINEAR(Z$1,$D78:Y78,$D$1:Y$1),0)</f>
        <v>43457</v>
      </c>
      <c r="AA78" s="51">
        <f>ROUND(_xlfn.FORECAST.LINEAR(AA$1,$D78:Z78,$D$1:Z$1),0)</f>
        <v>43672</v>
      </c>
      <c r="AB78" s="51">
        <f>ROUND(_xlfn.FORECAST.LINEAR(AB$1,$D78:AA78,$D$1:AA$1),0)</f>
        <v>43887</v>
      </c>
      <c r="AC78" s="51">
        <f>ROUND(_xlfn.FORECAST.LINEAR(AC$1,$D78:AB78,$D$1:AB$1),0)</f>
        <v>44102</v>
      </c>
      <c r="AD78" s="51">
        <f>ROUND(_xlfn.FORECAST.LINEAR(AD$1,$D78:AC78,$D$1:AC$1),0)</f>
        <v>44317</v>
      </c>
      <c r="AE78" s="51">
        <f>ROUND(_xlfn.FORECAST.LINEAR(AE$1,$D78:AD78,$D$1:AD$1),0)</f>
        <v>44532</v>
      </c>
      <c r="AF78" s="51">
        <f>ROUND(_xlfn.FORECAST.LINEAR(AF$1,$D78:AE78,$D$1:AE$1),0)</f>
        <v>44747</v>
      </c>
    </row>
    <row r="79" spans="1:32" ht="15" customHeight="1" x14ac:dyDescent="0.25">
      <c r="C79" s="11" t="s">
        <v>2</v>
      </c>
      <c r="D79" s="47">
        <f t="shared" si="7"/>
        <v>58837</v>
      </c>
      <c r="E79" s="47">
        <f t="shared" si="6"/>
        <v>60249</v>
      </c>
      <c r="F79" s="47">
        <f t="shared" si="6"/>
        <v>61001</v>
      </c>
      <c r="G79" s="47">
        <f>G41+G47</f>
        <v>62146</v>
      </c>
      <c r="H79" s="47">
        <f t="shared" si="6"/>
        <v>63579</v>
      </c>
      <c r="I79" s="47">
        <f t="shared" si="6"/>
        <v>63834</v>
      </c>
      <c r="J79" s="47">
        <f t="shared" si="6"/>
        <v>64119</v>
      </c>
      <c r="K79" s="47">
        <f t="shared" si="6"/>
        <v>64307</v>
      </c>
      <c r="L79" s="47">
        <f t="shared" si="6"/>
        <v>63983</v>
      </c>
      <c r="M79" s="47">
        <f t="shared" si="6"/>
        <v>64103</v>
      </c>
      <c r="N79" s="47">
        <f t="shared" si="6"/>
        <v>64185</v>
      </c>
      <c r="O79" s="47">
        <f t="shared" si="6"/>
        <v>63456</v>
      </c>
      <c r="P79" s="47">
        <f t="shared" si="6"/>
        <v>62048</v>
      </c>
      <c r="Q79" s="47">
        <f t="shared" si="6"/>
        <v>61961</v>
      </c>
      <c r="R79" s="47">
        <f t="shared" si="6"/>
        <v>60257</v>
      </c>
      <c r="S79" s="47">
        <f t="shared" si="6"/>
        <v>59759</v>
      </c>
      <c r="T79" s="47">
        <f t="shared" si="6"/>
        <v>60340</v>
      </c>
      <c r="U79" s="47">
        <f t="shared" si="6"/>
        <v>61935</v>
      </c>
      <c r="V79" s="51">
        <f>ROUND(_xlfn.FORECAST.LINEAR(V$1,$D79:U79,$D$1:U$1),0)</f>
        <v>62095</v>
      </c>
      <c r="W79" s="51">
        <f>ROUND(_xlfn.FORECAST.LINEAR(W$1,$D79:V79,$D$1:V$1),0)</f>
        <v>62081</v>
      </c>
      <c r="X79" s="51">
        <f>ROUND(_xlfn.FORECAST.LINEAR(X$1,$D79:W79,$D$1:W$1),0)</f>
        <v>62067</v>
      </c>
      <c r="Y79" s="51">
        <f>ROUND(_xlfn.FORECAST.LINEAR(Y$1,$D79:X79,$D$1:X$1),0)</f>
        <v>62053</v>
      </c>
      <c r="Z79" s="51">
        <f>ROUND(_xlfn.FORECAST.LINEAR(Z$1,$D79:Y79,$D$1:Y$1),0)</f>
        <v>62039</v>
      </c>
      <c r="AA79" s="51">
        <f>ROUND(_xlfn.FORECAST.LINEAR(AA$1,$D79:Z79,$D$1:Z$1),0)</f>
        <v>62025</v>
      </c>
      <c r="AB79" s="51">
        <f>ROUND(_xlfn.FORECAST.LINEAR(AB$1,$D79:AA79,$D$1:AA$1),0)</f>
        <v>62011</v>
      </c>
      <c r="AC79" s="51">
        <f>ROUND(_xlfn.FORECAST.LINEAR(AC$1,$D79:AB79,$D$1:AB$1),0)</f>
        <v>61997</v>
      </c>
      <c r="AD79" s="51">
        <f>ROUND(_xlfn.FORECAST.LINEAR(AD$1,$D79:AC79,$D$1:AC$1),0)</f>
        <v>61983</v>
      </c>
      <c r="AE79" s="51">
        <f>ROUND(_xlfn.FORECAST.LINEAR(AE$1,$D79:AD79,$D$1:AD$1),0)</f>
        <v>61969</v>
      </c>
      <c r="AF79" s="51">
        <f>ROUND(_xlfn.FORECAST.LINEAR(AF$1,$D79:AE79,$D$1:AE$1),0)</f>
        <v>61955</v>
      </c>
    </row>
    <row r="80" spans="1:32" ht="15" customHeight="1" x14ac:dyDescent="0.25">
      <c r="A80" s="2" t="s">
        <v>18</v>
      </c>
      <c r="B80" s="2" t="s">
        <v>13</v>
      </c>
      <c r="C80" s="11" t="s">
        <v>0</v>
      </c>
      <c r="D80" s="47">
        <f t="shared" si="7"/>
        <v>58380</v>
      </c>
      <c r="E80" s="47">
        <f t="shared" si="6"/>
        <v>58330</v>
      </c>
      <c r="F80" s="47">
        <f t="shared" si="6"/>
        <v>58380</v>
      </c>
      <c r="G80" s="47">
        <f t="shared" si="6"/>
        <v>58840</v>
      </c>
      <c r="H80" s="47">
        <f t="shared" si="6"/>
        <v>59616</v>
      </c>
      <c r="I80" s="47">
        <f t="shared" si="6"/>
        <v>61135</v>
      </c>
      <c r="J80" s="47">
        <f t="shared" si="6"/>
        <v>61993</v>
      </c>
      <c r="K80" s="47">
        <f t="shared" si="6"/>
        <v>62995</v>
      </c>
      <c r="L80" s="47">
        <f t="shared" si="6"/>
        <v>63505</v>
      </c>
      <c r="M80" s="47">
        <f t="shared" si="6"/>
        <v>64875</v>
      </c>
      <c r="N80" s="47">
        <f t="shared" si="6"/>
        <v>64580</v>
      </c>
      <c r="O80" s="47">
        <f t="shared" si="6"/>
        <v>63454</v>
      </c>
      <c r="P80" s="47">
        <f t="shared" si="6"/>
        <v>62547</v>
      </c>
      <c r="Q80" s="47">
        <f t="shared" si="6"/>
        <v>61232</v>
      </c>
      <c r="R80" s="47">
        <f t="shared" si="6"/>
        <v>60624</v>
      </c>
      <c r="S80" s="47">
        <f t="shared" si="6"/>
        <v>60366</v>
      </c>
      <c r="T80" s="47">
        <f t="shared" si="6"/>
        <v>60890</v>
      </c>
      <c r="U80" s="47">
        <f t="shared" si="6"/>
        <v>61794</v>
      </c>
      <c r="V80" s="51">
        <f>ROUND(_xlfn.FORECAST.LINEAR(V$1,$D80:U80,$D$1:U$1),0)</f>
        <v>63070</v>
      </c>
      <c r="W80" s="51">
        <f>ROUND(_xlfn.FORECAST.LINEAR(W$1,$D80:V80,$D$1:V$1),0)</f>
        <v>63255</v>
      </c>
      <c r="X80" s="51">
        <f>ROUND(_xlfn.FORECAST.LINEAR(X$1,$D80:W80,$D$1:W$1),0)</f>
        <v>63441</v>
      </c>
      <c r="Y80" s="51">
        <f>ROUND(_xlfn.FORECAST.LINEAR(Y$1,$D80:X80,$D$1:X$1),0)</f>
        <v>63626</v>
      </c>
      <c r="Z80" s="51">
        <f>ROUND(_xlfn.FORECAST.LINEAR(Z$1,$D80:Y80,$D$1:Y$1),0)</f>
        <v>63812</v>
      </c>
      <c r="AA80" s="51">
        <f>ROUND(_xlfn.FORECAST.LINEAR(AA$1,$D80:Z80,$D$1:Z$1),0)</f>
        <v>63997</v>
      </c>
      <c r="AB80" s="51">
        <f>ROUND(_xlfn.FORECAST.LINEAR(AB$1,$D80:AA80,$D$1:AA$1),0)</f>
        <v>64183</v>
      </c>
      <c r="AC80" s="51">
        <f>ROUND(_xlfn.FORECAST.LINEAR(AC$1,$D80:AB80,$D$1:AB$1),0)</f>
        <v>64368</v>
      </c>
      <c r="AD80" s="51">
        <f>ROUND(_xlfn.FORECAST.LINEAR(AD$1,$D80:AC80,$D$1:AC$1),0)</f>
        <v>64554</v>
      </c>
      <c r="AE80" s="51">
        <f>ROUND(_xlfn.FORECAST.LINEAR(AE$1,$D80:AD80,$D$1:AD$1),0)</f>
        <v>64739</v>
      </c>
      <c r="AF80" s="51">
        <f>ROUND(_xlfn.FORECAST.LINEAR(AF$1,$D80:AE80,$D$1:AE$1),0)</f>
        <v>64925</v>
      </c>
    </row>
    <row r="81" spans="1:32" ht="15" customHeight="1" x14ac:dyDescent="0.25">
      <c r="C81" s="11" t="s">
        <v>1</v>
      </c>
      <c r="D81" s="47">
        <f t="shared" si="7"/>
        <v>95851</v>
      </c>
      <c r="E81" s="47">
        <f t="shared" si="6"/>
        <v>95429</v>
      </c>
      <c r="F81" s="47">
        <f t="shared" si="6"/>
        <v>94545</v>
      </c>
      <c r="G81" s="47">
        <f t="shared" si="6"/>
        <v>94319</v>
      </c>
      <c r="H81" s="47">
        <f t="shared" si="6"/>
        <v>94961</v>
      </c>
      <c r="I81" s="47">
        <f t="shared" si="6"/>
        <v>96297</v>
      </c>
      <c r="J81" s="47">
        <f t="shared" si="6"/>
        <v>97597</v>
      </c>
      <c r="K81" s="47">
        <f t="shared" si="6"/>
        <v>99641</v>
      </c>
      <c r="L81" s="47">
        <f t="shared" si="6"/>
        <v>100770</v>
      </c>
      <c r="M81" s="47">
        <f t="shared" si="6"/>
        <v>102257</v>
      </c>
      <c r="N81" s="47">
        <f t="shared" si="6"/>
        <v>102669</v>
      </c>
      <c r="O81" s="47">
        <f t="shared" si="6"/>
        <v>102086</v>
      </c>
      <c r="P81" s="47">
        <f t="shared" si="6"/>
        <v>101360</v>
      </c>
      <c r="Q81" s="47">
        <f t="shared" si="6"/>
        <v>98904</v>
      </c>
      <c r="R81" s="47">
        <f t="shared" si="6"/>
        <v>95352</v>
      </c>
      <c r="S81" s="47">
        <f t="shared" si="6"/>
        <v>93676</v>
      </c>
      <c r="T81" s="47">
        <f t="shared" si="6"/>
        <v>92685</v>
      </c>
      <c r="U81" s="47">
        <f t="shared" si="6"/>
        <v>92521</v>
      </c>
      <c r="V81" s="51">
        <f>ROUND(_xlfn.FORECAST.LINEAR(V$1,$D81:U81,$D$1:U$1),0)</f>
        <v>97335</v>
      </c>
      <c r="W81" s="51">
        <f>ROUND(_xlfn.FORECAST.LINEAR(W$1,$D81:V81,$D$1:V$1),0)</f>
        <v>97341</v>
      </c>
      <c r="X81" s="51">
        <f>ROUND(_xlfn.FORECAST.LINEAR(X$1,$D81:W81,$D$1:W$1),0)</f>
        <v>97347</v>
      </c>
      <c r="Y81" s="51">
        <f>ROUND(_xlfn.FORECAST.LINEAR(Y$1,$D81:X81,$D$1:X$1),0)</f>
        <v>97354</v>
      </c>
      <c r="Z81" s="51">
        <f>ROUND(_xlfn.FORECAST.LINEAR(Z$1,$D81:Y81,$D$1:Y$1),0)</f>
        <v>97360</v>
      </c>
      <c r="AA81" s="51">
        <f>ROUND(_xlfn.FORECAST.LINEAR(AA$1,$D81:Z81,$D$1:Z$1),0)</f>
        <v>97367</v>
      </c>
      <c r="AB81" s="51">
        <f>ROUND(_xlfn.FORECAST.LINEAR(AB$1,$D81:AA81,$D$1:AA$1),0)</f>
        <v>97373</v>
      </c>
      <c r="AC81" s="51">
        <f>ROUND(_xlfn.FORECAST.LINEAR(AC$1,$D81:AB81,$D$1:AB$1),0)</f>
        <v>97380</v>
      </c>
      <c r="AD81" s="51">
        <f>ROUND(_xlfn.FORECAST.LINEAR(AD$1,$D81:AC81,$D$1:AC$1),0)</f>
        <v>97386</v>
      </c>
      <c r="AE81" s="51">
        <f>ROUND(_xlfn.FORECAST.LINEAR(AE$1,$D81:AD81,$D$1:AD$1),0)</f>
        <v>97393</v>
      </c>
      <c r="AF81" s="51">
        <f>ROUND(_xlfn.FORECAST.LINEAR(AF$1,$D81:AE81,$D$1:AE$1),0)</f>
        <v>97399</v>
      </c>
    </row>
    <row r="82" spans="1:32" ht="15" customHeight="1" x14ac:dyDescent="0.25">
      <c r="C82" s="11" t="s">
        <v>2</v>
      </c>
      <c r="D82" s="47">
        <f t="shared" si="7"/>
        <v>135144</v>
      </c>
      <c r="E82" s="47">
        <f t="shared" si="6"/>
        <v>136611</v>
      </c>
      <c r="F82" s="47">
        <f t="shared" si="6"/>
        <v>137298</v>
      </c>
      <c r="G82" s="47">
        <f t="shared" si="6"/>
        <v>138119</v>
      </c>
      <c r="H82" s="47">
        <f t="shared" si="6"/>
        <v>139881</v>
      </c>
      <c r="I82" s="47">
        <f t="shared" si="6"/>
        <v>141055</v>
      </c>
      <c r="J82" s="47">
        <f t="shared" si="6"/>
        <v>141135</v>
      </c>
      <c r="K82" s="47">
        <f t="shared" si="6"/>
        <v>141588</v>
      </c>
      <c r="L82" s="47">
        <f t="shared" si="6"/>
        <v>141064</v>
      </c>
      <c r="M82" s="47">
        <f t="shared" si="6"/>
        <v>141315</v>
      </c>
      <c r="N82" s="47">
        <f t="shared" si="6"/>
        <v>141207</v>
      </c>
      <c r="O82" s="47">
        <f t="shared" si="6"/>
        <v>140025</v>
      </c>
      <c r="P82" s="47">
        <f t="shared" si="6"/>
        <v>137335</v>
      </c>
      <c r="Q82" s="47">
        <f t="shared" si="6"/>
        <v>134298</v>
      </c>
      <c r="R82" s="47">
        <f t="shared" si="6"/>
        <v>130178</v>
      </c>
      <c r="S82" s="47">
        <f t="shared" si="6"/>
        <v>128872</v>
      </c>
      <c r="T82" s="47">
        <f t="shared" si="6"/>
        <v>129333</v>
      </c>
      <c r="U82" s="47">
        <f t="shared" si="6"/>
        <v>131818</v>
      </c>
      <c r="V82" s="51">
        <f>ROUND(_xlfn.FORECAST.LINEAR(V$1,$D82:U82,$D$1:U$1),0)</f>
        <v>132649</v>
      </c>
      <c r="W82" s="51">
        <f>ROUND(_xlfn.FORECAST.LINEAR(W$1,$D82:V82,$D$1:V$1),0)</f>
        <v>132190</v>
      </c>
      <c r="X82" s="51">
        <f>ROUND(_xlfn.FORECAST.LINEAR(X$1,$D82:W82,$D$1:W$1),0)</f>
        <v>131730</v>
      </c>
      <c r="Y82" s="51">
        <f>ROUND(_xlfn.FORECAST.LINEAR(Y$1,$D82:X82,$D$1:X$1),0)</f>
        <v>131271</v>
      </c>
      <c r="Z82" s="51">
        <f>ROUND(_xlfn.FORECAST.LINEAR(Z$1,$D82:Y82,$D$1:Y$1),0)</f>
        <v>130811</v>
      </c>
      <c r="AA82" s="51">
        <f>ROUND(_xlfn.FORECAST.LINEAR(AA$1,$D82:Z82,$D$1:Z$1),0)</f>
        <v>130351</v>
      </c>
      <c r="AB82" s="51">
        <f>ROUND(_xlfn.FORECAST.LINEAR(AB$1,$D82:AA82,$D$1:AA$1),0)</f>
        <v>129892</v>
      </c>
      <c r="AC82" s="51">
        <f>ROUND(_xlfn.FORECAST.LINEAR(AC$1,$D82:AB82,$D$1:AB$1),0)</f>
        <v>129432</v>
      </c>
      <c r="AD82" s="51">
        <f>ROUND(_xlfn.FORECAST.LINEAR(AD$1,$D82:AC82,$D$1:AC$1),0)</f>
        <v>128973</v>
      </c>
      <c r="AE82" s="51">
        <f>ROUND(_xlfn.FORECAST.LINEAR(AE$1,$D82:AD82,$D$1:AD$1),0)</f>
        <v>128513</v>
      </c>
      <c r="AF82" s="51">
        <f>ROUND(_xlfn.FORECAST.LINEAR(AF$1,$D82:AE82,$D$1:AE$1),0)</f>
        <v>128054</v>
      </c>
    </row>
    <row r="83" spans="1:32" ht="15" customHeight="1" x14ac:dyDescent="0.25">
      <c r="A83" s="2" t="s">
        <v>19</v>
      </c>
      <c r="B83" s="2" t="s">
        <v>11</v>
      </c>
      <c r="C83" s="11" t="s">
        <v>0</v>
      </c>
      <c r="D83" s="47">
        <f>D51</f>
        <v>3480</v>
      </c>
      <c r="E83" s="47">
        <f t="shared" ref="E83:U83" si="8">E51</f>
        <v>3730</v>
      </c>
      <c r="F83" s="47">
        <f t="shared" si="8"/>
        <v>3950</v>
      </c>
      <c r="G83" s="47">
        <f t="shared" si="8"/>
        <v>4270</v>
      </c>
      <c r="H83" s="47">
        <f t="shared" si="8"/>
        <v>4640</v>
      </c>
      <c r="I83" s="47">
        <f t="shared" si="8"/>
        <v>5182</v>
      </c>
      <c r="J83" s="47">
        <f t="shared" si="8"/>
        <v>5672</v>
      </c>
      <c r="K83" s="47">
        <f t="shared" si="8"/>
        <v>6068</v>
      </c>
      <c r="L83" s="47">
        <f t="shared" si="8"/>
        <v>6586</v>
      </c>
      <c r="M83" s="47">
        <f t="shared" si="8"/>
        <v>7078</v>
      </c>
      <c r="N83" s="47">
        <f t="shared" si="8"/>
        <v>7423</v>
      </c>
      <c r="O83" s="47">
        <f t="shared" si="8"/>
        <v>7600</v>
      </c>
      <c r="P83" s="47">
        <f t="shared" si="8"/>
        <v>7776</v>
      </c>
      <c r="Q83" s="47">
        <f t="shared" si="8"/>
        <v>8095</v>
      </c>
      <c r="R83" s="47">
        <f t="shared" si="8"/>
        <v>8229</v>
      </c>
      <c r="S83" s="47">
        <f t="shared" si="8"/>
        <v>8578</v>
      </c>
      <c r="T83" s="47">
        <f t="shared" si="8"/>
        <v>8861</v>
      </c>
      <c r="U83" s="47">
        <f t="shared" si="8"/>
        <v>9320</v>
      </c>
      <c r="V83" s="51">
        <f>ROUND(_xlfn.FORECAST.LINEAR(V$1,$D83:U83,$D$1:U$1),0)</f>
        <v>9841</v>
      </c>
      <c r="W83" s="51">
        <f>ROUND(_xlfn.FORECAST.LINEAR(W$1,$D83:V83,$D$1:V$1),0)</f>
        <v>10195</v>
      </c>
      <c r="X83" s="51">
        <f>ROUND(_xlfn.FORECAST.LINEAR(X$1,$D83:W83,$D$1:W$1),0)</f>
        <v>10550</v>
      </c>
      <c r="Y83" s="51">
        <f>ROUND(_xlfn.FORECAST.LINEAR(Y$1,$D83:X83,$D$1:X$1),0)</f>
        <v>10904</v>
      </c>
      <c r="Z83" s="51">
        <f>ROUND(_xlfn.FORECAST.LINEAR(Z$1,$D83:Y83,$D$1:Y$1),0)</f>
        <v>11259</v>
      </c>
      <c r="AA83" s="51">
        <f>ROUND(_xlfn.FORECAST.LINEAR(AA$1,$D83:Z83,$D$1:Z$1),0)</f>
        <v>11613</v>
      </c>
      <c r="AB83" s="51">
        <f>ROUND(_xlfn.FORECAST.LINEAR(AB$1,$D83:AA83,$D$1:AA$1),0)</f>
        <v>11967</v>
      </c>
      <c r="AC83" s="51">
        <f>ROUND(_xlfn.FORECAST.LINEAR(AC$1,$D83:AB83,$D$1:AB$1),0)</f>
        <v>12322</v>
      </c>
      <c r="AD83" s="51">
        <f>ROUND(_xlfn.FORECAST.LINEAR(AD$1,$D83:AC83,$D$1:AC$1),0)</f>
        <v>12676</v>
      </c>
      <c r="AE83" s="51">
        <f>ROUND(_xlfn.FORECAST.LINEAR(AE$1,$D83:AD83,$D$1:AD$1),0)</f>
        <v>13031</v>
      </c>
      <c r="AF83" s="51">
        <f>ROUND(_xlfn.FORECAST.LINEAR(AF$1,$D83:AE83,$D$1:AE$1),0)</f>
        <v>13385</v>
      </c>
    </row>
    <row r="84" spans="1:32" ht="15" customHeight="1" x14ac:dyDescent="0.25">
      <c r="C84" s="11" t="s">
        <v>1</v>
      </c>
      <c r="D84" s="47">
        <f t="shared" ref="D84:U84" si="9">D52</f>
        <v>5255</v>
      </c>
      <c r="E84" s="47">
        <f t="shared" si="9"/>
        <v>5444</v>
      </c>
      <c r="F84" s="47">
        <f t="shared" si="9"/>
        <v>5659</v>
      </c>
      <c r="G84" s="47">
        <f t="shared" si="9"/>
        <v>6019</v>
      </c>
      <c r="H84" s="47">
        <f t="shared" si="9"/>
        <v>6442</v>
      </c>
      <c r="I84" s="47">
        <f t="shared" si="9"/>
        <v>7193</v>
      </c>
      <c r="J84" s="47">
        <f t="shared" si="9"/>
        <v>7910</v>
      </c>
      <c r="K84" s="47">
        <f t="shared" si="9"/>
        <v>8573</v>
      </c>
      <c r="L84" s="47">
        <f t="shared" si="9"/>
        <v>9232</v>
      </c>
      <c r="M84" s="47">
        <f t="shared" si="9"/>
        <v>9660</v>
      </c>
      <c r="N84" s="47">
        <f t="shared" si="9"/>
        <v>9917</v>
      </c>
      <c r="O84" s="47">
        <f t="shared" si="9"/>
        <v>10154</v>
      </c>
      <c r="P84" s="47">
        <f t="shared" si="9"/>
        <v>10227</v>
      </c>
      <c r="Q84" s="47">
        <f t="shared" si="9"/>
        <v>10468</v>
      </c>
      <c r="R84" s="47">
        <f t="shared" si="9"/>
        <v>10531</v>
      </c>
      <c r="S84" s="47">
        <f t="shared" si="9"/>
        <v>10952</v>
      </c>
      <c r="T84" s="47">
        <f t="shared" si="9"/>
        <v>11514</v>
      </c>
      <c r="U84" s="47">
        <f t="shared" si="9"/>
        <v>12171</v>
      </c>
      <c r="V84" s="51">
        <f>ROUND(_xlfn.FORECAST.LINEAR(V$1,$D84:U84,$D$1:U$1),0)</f>
        <v>12664</v>
      </c>
      <c r="W84" s="51">
        <f>ROUND(_xlfn.FORECAST.LINEAR(W$1,$D84:V84,$D$1:V$1),0)</f>
        <v>13077</v>
      </c>
      <c r="X84" s="51">
        <f>ROUND(_xlfn.FORECAST.LINEAR(X$1,$D84:W84,$D$1:W$1),0)</f>
        <v>13490</v>
      </c>
      <c r="Y84" s="51">
        <f>ROUND(_xlfn.FORECAST.LINEAR(Y$1,$D84:X84,$D$1:X$1),0)</f>
        <v>13903</v>
      </c>
      <c r="Z84" s="51">
        <f>ROUND(_xlfn.FORECAST.LINEAR(Z$1,$D84:Y84,$D$1:Y$1),0)</f>
        <v>14316</v>
      </c>
      <c r="AA84" s="51">
        <f>ROUND(_xlfn.FORECAST.LINEAR(AA$1,$D84:Z84,$D$1:Z$1),0)</f>
        <v>14729</v>
      </c>
      <c r="AB84" s="51">
        <f>ROUND(_xlfn.FORECAST.LINEAR(AB$1,$D84:AA84,$D$1:AA$1),0)</f>
        <v>15142</v>
      </c>
      <c r="AC84" s="51">
        <f>ROUND(_xlfn.FORECAST.LINEAR(AC$1,$D84:AB84,$D$1:AB$1),0)</f>
        <v>15555</v>
      </c>
      <c r="AD84" s="51">
        <f>ROUND(_xlfn.FORECAST.LINEAR(AD$1,$D84:AC84,$D$1:AC$1),0)</f>
        <v>15968</v>
      </c>
      <c r="AE84" s="51">
        <f>ROUND(_xlfn.FORECAST.LINEAR(AE$1,$D84:AD84,$D$1:AD$1),0)</f>
        <v>16381</v>
      </c>
      <c r="AF84" s="51">
        <f>ROUND(_xlfn.FORECAST.LINEAR(AF$1,$D84:AE84,$D$1:AE$1),0)</f>
        <v>16794</v>
      </c>
    </row>
    <row r="85" spans="1:32" ht="15" customHeight="1" x14ac:dyDescent="0.25">
      <c r="C85" s="11" t="s">
        <v>2</v>
      </c>
      <c r="D85" s="47">
        <f t="shared" ref="D85:U85" si="10">D53</f>
        <v>9723</v>
      </c>
      <c r="E85" s="47">
        <f t="shared" si="10"/>
        <v>10258</v>
      </c>
      <c r="F85" s="47">
        <f t="shared" si="10"/>
        <v>10673</v>
      </c>
      <c r="G85" s="47">
        <f t="shared" si="10"/>
        <v>11139</v>
      </c>
      <c r="H85" s="47">
        <f t="shared" si="10"/>
        <v>11791</v>
      </c>
      <c r="I85" s="47">
        <f t="shared" si="10"/>
        <v>12767</v>
      </c>
      <c r="J85" s="47">
        <f t="shared" si="10"/>
        <v>13647</v>
      </c>
      <c r="K85" s="47">
        <f t="shared" si="10"/>
        <v>14492</v>
      </c>
      <c r="L85" s="47">
        <f t="shared" si="10"/>
        <v>15437</v>
      </c>
      <c r="M85" s="47">
        <f t="shared" si="10"/>
        <v>15933</v>
      </c>
      <c r="N85" s="47">
        <f t="shared" si="10"/>
        <v>16522</v>
      </c>
      <c r="O85" s="47">
        <f t="shared" si="10"/>
        <v>17092</v>
      </c>
      <c r="P85" s="47">
        <f t="shared" si="10"/>
        <v>17496</v>
      </c>
      <c r="Q85" s="47">
        <f t="shared" si="10"/>
        <v>17909</v>
      </c>
      <c r="R85" s="47">
        <f t="shared" si="10"/>
        <v>17709</v>
      </c>
      <c r="S85" s="47">
        <f t="shared" si="10"/>
        <v>17902</v>
      </c>
      <c r="T85" s="47">
        <f t="shared" si="10"/>
        <v>18573</v>
      </c>
      <c r="U85" s="47">
        <f t="shared" si="10"/>
        <v>19261</v>
      </c>
      <c r="V85" s="51">
        <f>ROUND(_xlfn.FORECAST.LINEAR(V$1,$D85:U85,$D$1:U$1),0)</f>
        <v>20447</v>
      </c>
      <c r="W85" s="51">
        <f>ROUND(_xlfn.FORECAST.LINEAR(W$1,$D85:V85,$D$1:V$1),0)</f>
        <v>21030</v>
      </c>
      <c r="X85" s="51">
        <f>ROUND(_xlfn.FORECAST.LINEAR(X$1,$D85:W85,$D$1:W$1),0)</f>
        <v>21613</v>
      </c>
      <c r="Y85" s="51">
        <f>ROUND(_xlfn.FORECAST.LINEAR(Y$1,$D85:X85,$D$1:X$1),0)</f>
        <v>22196</v>
      </c>
      <c r="Z85" s="51">
        <f>ROUND(_xlfn.FORECAST.LINEAR(Z$1,$D85:Y85,$D$1:Y$1),0)</f>
        <v>22780</v>
      </c>
      <c r="AA85" s="51">
        <f>ROUND(_xlfn.FORECAST.LINEAR(AA$1,$D85:Z85,$D$1:Z$1),0)</f>
        <v>23363</v>
      </c>
      <c r="AB85" s="51">
        <f>ROUND(_xlfn.FORECAST.LINEAR(AB$1,$D85:AA85,$D$1:AA$1),0)</f>
        <v>23946</v>
      </c>
      <c r="AC85" s="51">
        <f>ROUND(_xlfn.FORECAST.LINEAR(AC$1,$D85:AB85,$D$1:AB$1),0)</f>
        <v>24529</v>
      </c>
      <c r="AD85" s="51">
        <f>ROUND(_xlfn.FORECAST.LINEAR(AD$1,$D85:AC85,$D$1:AC$1),0)</f>
        <v>25112</v>
      </c>
      <c r="AE85" s="51">
        <f>ROUND(_xlfn.FORECAST.LINEAR(AE$1,$D85:AD85,$D$1:AD$1),0)</f>
        <v>25695</v>
      </c>
      <c r="AF85" s="51">
        <f>ROUND(_xlfn.FORECAST.LINEAR(AF$1,$D85:AE85,$D$1:AE$1),0)</f>
        <v>26279</v>
      </c>
    </row>
    <row r="86" spans="1:32" ht="15" customHeight="1" x14ac:dyDescent="0.25">
      <c r="A86" s="2" t="s">
        <v>19</v>
      </c>
      <c r="B86" s="2" t="s">
        <v>13</v>
      </c>
      <c r="C86" s="11" t="s">
        <v>0</v>
      </c>
      <c r="D86" s="47">
        <f t="shared" ref="D86:U86" si="11">D54</f>
        <v>14240</v>
      </c>
      <c r="E86" s="47">
        <f t="shared" si="11"/>
        <v>15420</v>
      </c>
      <c r="F86" s="47">
        <f t="shared" si="11"/>
        <v>16470</v>
      </c>
      <c r="G86" s="47">
        <f t="shared" si="11"/>
        <v>17640</v>
      </c>
      <c r="H86" s="47">
        <f t="shared" si="11"/>
        <v>18988</v>
      </c>
      <c r="I86" s="47">
        <f t="shared" si="11"/>
        <v>20347</v>
      </c>
      <c r="J86" s="47">
        <f t="shared" si="11"/>
        <v>21751</v>
      </c>
      <c r="K86" s="47">
        <f t="shared" si="11"/>
        <v>23033</v>
      </c>
      <c r="L86" s="47">
        <f t="shared" si="11"/>
        <v>24078</v>
      </c>
      <c r="M86" s="47">
        <f t="shared" si="11"/>
        <v>25080</v>
      </c>
      <c r="N86" s="47">
        <f t="shared" si="11"/>
        <v>26121</v>
      </c>
      <c r="O86" s="47">
        <f t="shared" si="11"/>
        <v>26573</v>
      </c>
      <c r="P86" s="47">
        <f t="shared" si="11"/>
        <v>27079</v>
      </c>
      <c r="Q86" s="47">
        <f t="shared" si="11"/>
        <v>27820</v>
      </c>
      <c r="R86" s="47">
        <f t="shared" si="11"/>
        <v>28143</v>
      </c>
      <c r="S86" s="47">
        <f t="shared" si="11"/>
        <v>29220</v>
      </c>
      <c r="T86" s="47">
        <f t="shared" si="11"/>
        <v>30534</v>
      </c>
      <c r="U86" s="47">
        <f t="shared" si="11"/>
        <v>31801</v>
      </c>
      <c r="V86" s="51">
        <f>ROUND(_xlfn.FORECAST.LINEAR(V$1,$D86:U86,$D$1:U$1),0)</f>
        <v>33060</v>
      </c>
      <c r="W86" s="51">
        <f>ROUND(_xlfn.FORECAST.LINEAR(W$1,$D86:V86,$D$1:V$1),0)</f>
        <v>34058</v>
      </c>
      <c r="X86" s="51">
        <f>ROUND(_xlfn.FORECAST.LINEAR(X$1,$D86:W86,$D$1:W$1),0)</f>
        <v>35057</v>
      </c>
      <c r="Y86" s="51">
        <f>ROUND(_xlfn.FORECAST.LINEAR(Y$1,$D86:X86,$D$1:X$1),0)</f>
        <v>36055</v>
      </c>
      <c r="Z86" s="51">
        <f>ROUND(_xlfn.FORECAST.LINEAR(Z$1,$D86:Y86,$D$1:Y$1),0)</f>
        <v>37054</v>
      </c>
      <c r="AA86" s="51">
        <f>ROUND(_xlfn.FORECAST.LINEAR(AA$1,$D86:Z86,$D$1:Z$1),0)</f>
        <v>38052</v>
      </c>
      <c r="AB86" s="51">
        <f>ROUND(_xlfn.FORECAST.LINEAR(AB$1,$D86:AA86,$D$1:AA$1),0)</f>
        <v>39051</v>
      </c>
      <c r="AC86" s="51">
        <f>ROUND(_xlfn.FORECAST.LINEAR(AC$1,$D86:AB86,$D$1:AB$1),0)</f>
        <v>40049</v>
      </c>
      <c r="AD86" s="51">
        <f>ROUND(_xlfn.FORECAST.LINEAR(AD$1,$D86:AC86,$D$1:AC$1),0)</f>
        <v>41048</v>
      </c>
      <c r="AE86" s="51">
        <f>ROUND(_xlfn.FORECAST.LINEAR(AE$1,$D86:AD86,$D$1:AD$1),0)</f>
        <v>42046</v>
      </c>
      <c r="AF86" s="51">
        <f>ROUND(_xlfn.FORECAST.LINEAR(AF$1,$D86:AE86,$D$1:AE$1),0)</f>
        <v>43045</v>
      </c>
    </row>
    <row r="87" spans="1:32" ht="15" customHeight="1" x14ac:dyDescent="0.25">
      <c r="C87" s="11" t="s">
        <v>1</v>
      </c>
      <c r="D87" s="47">
        <f t="shared" ref="D87:U87" si="12">D55</f>
        <v>21321</v>
      </c>
      <c r="E87" s="47">
        <f t="shared" si="12"/>
        <v>23208</v>
      </c>
      <c r="F87" s="47">
        <f t="shared" si="12"/>
        <v>25002</v>
      </c>
      <c r="G87" s="47">
        <f t="shared" si="12"/>
        <v>26869</v>
      </c>
      <c r="H87" s="47">
        <f t="shared" si="12"/>
        <v>28851</v>
      </c>
      <c r="I87" s="47">
        <f t="shared" si="12"/>
        <v>30383</v>
      </c>
      <c r="J87" s="47">
        <f t="shared" si="12"/>
        <v>32142</v>
      </c>
      <c r="K87" s="47">
        <f t="shared" si="12"/>
        <v>33290</v>
      </c>
      <c r="L87" s="47">
        <f t="shared" si="12"/>
        <v>34571</v>
      </c>
      <c r="M87" s="47">
        <f t="shared" si="12"/>
        <v>35405</v>
      </c>
      <c r="N87" s="47">
        <f t="shared" si="12"/>
        <v>36254</v>
      </c>
      <c r="O87" s="47">
        <f t="shared" si="12"/>
        <v>36610</v>
      </c>
      <c r="P87" s="47">
        <f t="shared" si="12"/>
        <v>36745</v>
      </c>
      <c r="Q87" s="47">
        <f t="shared" si="12"/>
        <v>37323</v>
      </c>
      <c r="R87" s="47">
        <f t="shared" si="12"/>
        <v>37370</v>
      </c>
      <c r="S87" s="47">
        <f t="shared" si="12"/>
        <v>38312</v>
      </c>
      <c r="T87" s="47">
        <f t="shared" si="12"/>
        <v>40046</v>
      </c>
      <c r="U87" s="47">
        <f t="shared" si="12"/>
        <v>41893</v>
      </c>
      <c r="V87" s="51">
        <f>ROUND(_xlfn.FORECAST.LINEAR(V$1,$D87:U87,$D$1:U$1),0)</f>
        <v>43321</v>
      </c>
      <c r="W87" s="51">
        <f>ROUND(_xlfn.FORECAST.LINEAR(W$1,$D87:V87,$D$1:V$1),0)</f>
        <v>44398</v>
      </c>
      <c r="X87" s="51">
        <f>ROUND(_xlfn.FORECAST.LINEAR(X$1,$D87:W87,$D$1:W$1),0)</f>
        <v>45475</v>
      </c>
      <c r="Y87" s="51">
        <f>ROUND(_xlfn.FORECAST.LINEAR(Y$1,$D87:X87,$D$1:X$1),0)</f>
        <v>46552</v>
      </c>
      <c r="Z87" s="51">
        <f>ROUND(_xlfn.FORECAST.LINEAR(Z$1,$D87:Y87,$D$1:Y$1),0)</f>
        <v>47629</v>
      </c>
      <c r="AA87" s="51">
        <f>ROUND(_xlfn.FORECAST.LINEAR(AA$1,$D87:Z87,$D$1:Z$1),0)</f>
        <v>48706</v>
      </c>
      <c r="AB87" s="51">
        <f>ROUND(_xlfn.FORECAST.LINEAR(AB$1,$D87:AA87,$D$1:AA$1),0)</f>
        <v>49783</v>
      </c>
      <c r="AC87" s="51">
        <f>ROUND(_xlfn.FORECAST.LINEAR(AC$1,$D87:AB87,$D$1:AB$1),0)</f>
        <v>50860</v>
      </c>
      <c r="AD87" s="51">
        <f>ROUND(_xlfn.FORECAST.LINEAR(AD$1,$D87:AC87,$D$1:AC$1),0)</f>
        <v>51937</v>
      </c>
      <c r="AE87" s="51">
        <f>ROUND(_xlfn.FORECAST.LINEAR(AE$1,$D87:AD87,$D$1:AD$1),0)</f>
        <v>53014</v>
      </c>
      <c r="AF87" s="51">
        <f>ROUND(_xlfn.FORECAST.LINEAR(AF$1,$D87:AE87,$D$1:AE$1),0)</f>
        <v>54091</v>
      </c>
    </row>
    <row r="88" spans="1:32" ht="15" customHeight="1" x14ac:dyDescent="0.25">
      <c r="C88" s="11" t="s">
        <v>2</v>
      </c>
      <c r="D88" s="47">
        <f t="shared" ref="D88:U88" si="13">D56</f>
        <v>31541</v>
      </c>
      <c r="E88" s="47">
        <f t="shared" si="13"/>
        <v>34028</v>
      </c>
      <c r="F88" s="47">
        <f t="shared" si="13"/>
        <v>36616</v>
      </c>
      <c r="G88" s="47">
        <f t="shared" si="13"/>
        <v>39189</v>
      </c>
      <c r="H88" s="47">
        <f t="shared" si="13"/>
        <v>41864</v>
      </c>
      <c r="I88" s="47">
        <f t="shared" si="13"/>
        <v>44149</v>
      </c>
      <c r="J88" s="47">
        <f t="shared" si="13"/>
        <v>46740</v>
      </c>
      <c r="K88" s="47">
        <f t="shared" si="13"/>
        <v>48577</v>
      </c>
      <c r="L88" s="47">
        <f t="shared" si="13"/>
        <v>49994</v>
      </c>
      <c r="M88" s="47">
        <f t="shared" si="13"/>
        <v>51460</v>
      </c>
      <c r="N88" s="47">
        <f t="shared" si="13"/>
        <v>53147</v>
      </c>
      <c r="O88" s="47">
        <f t="shared" si="13"/>
        <v>54439</v>
      </c>
      <c r="P88" s="47">
        <f t="shared" si="13"/>
        <v>55664</v>
      </c>
      <c r="Q88" s="47">
        <f t="shared" si="13"/>
        <v>54739</v>
      </c>
      <c r="R88" s="47">
        <f t="shared" si="13"/>
        <v>54855</v>
      </c>
      <c r="S88" s="47">
        <f t="shared" si="13"/>
        <v>55831</v>
      </c>
      <c r="T88" s="47">
        <f t="shared" si="13"/>
        <v>57652</v>
      </c>
      <c r="U88" s="47">
        <f t="shared" si="13"/>
        <v>59348</v>
      </c>
      <c r="V88" s="51">
        <f>ROUND(_xlfn.FORECAST.LINEAR(V$1,$D88:U88,$D$1:U$1),0)</f>
        <v>63024</v>
      </c>
      <c r="W88" s="51">
        <f>ROUND(_xlfn.FORECAST.LINEAR(W$1,$D88:V88,$D$1:V$1),0)</f>
        <v>64571</v>
      </c>
      <c r="X88" s="51">
        <f>ROUND(_xlfn.FORECAST.LINEAR(X$1,$D88:W88,$D$1:W$1),0)</f>
        <v>66118</v>
      </c>
      <c r="Y88" s="51">
        <f>ROUND(_xlfn.FORECAST.LINEAR(Y$1,$D88:X88,$D$1:X$1),0)</f>
        <v>67666</v>
      </c>
      <c r="Z88" s="51">
        <f>ROUND(_xlfn.FORECAST.LINEAR(Z$1,$D88:Y88,$D$1:Y$1),0)</f>
        <v>69213</v>
      </c>
      <c r="AA88" s="51">
        <f>ROUND(_xlfn.FORECAST.LINEAR(AA$1,$D88:Z88,$D$1:Z$1),0)</f>
        <v>70760</v>
      </c>
      <c r="AB88" s="51">
        <f>ROUND(_xlfn.FORECAST.LINEAR(AB$1,$D88:AA88,$D$1:AA$1),0)</f>
        <v>72308</v>
      </c>
      <c r="AC88" s="51">
        <f>ROUND(_xlfn.FORECAST.LINEAR(AC$1,$D88:AB88,$D$1:AB$1),0)</f>
        <v>73855</v>
      </c>
      <c r="AD88" s="51">
        <f>ROUND(_xlfn.FORECAST.LINEAR(AD$1,$D88:AC88,$D$1:AC$1),0)</f>
        <v>75402</v>
      </c>
      <c r="AE88" s="51">
        <f>ROUND(_xlfn.FORECAST.LINEAR(AE$1,$D88:AD88,$D$1:AD$1),0)</f>
        <v>76950</v>
      </c>
      <c r="AF88" s="51">
        <f>ROUND(_xlfn.FORECAST.LINEAR(AF$1,$D88:AE88,$D$1:AE$1),0)</f>
        <v>78497</v>
      </c>
    </row>
  </sheetData>
  <phoneticPr fontId="1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8D876-B465-4182-854A-3B4FE7240378}">
  <dimension ref="A1:AS95"/>
  <sheetViews>
    <sheetView zoomScaleNormal="100" workbookViewId="0">
      <pane ySplit="1" topLeftCell="A2" activePane="bottomLeft" state="frozen"/>
      <selection activeCell="C1" sqref="C1"/>
      <selection pane="bottomLeft" activeCell="R1" sqref="R1"/>
    </sheetView>
  </sheetViews>
  <sheetFormatPr defaultRowHeight="15" customHeight="1" x14ac:dyDescent="0.25"/>
  <cols>
    <col min="1" max="1" width="21.85546875" style="2" customWidth="1"/>
    <col min="2" max="2" width="9.140625" style="2"/>
    <col min="3" max="3" width="13.42578125" style="2" customWidth="1"/>
    <col min="4" max="4" width="25.28515625" style="11" customWidth="1"/>
    <col min="5" max="33" width="15.140625" customWidth="1"/>
  </cols>
  <sheetData>
    <row r="1" spans="1:45" s="3" customFormat="1" ht="15" customHeight="1" x14ac:dyDescent="0.25">
      <c r="A1" s="6" t="s">
        <v>26</v>
      </c>
      <c r="D1" s="7"/>
      <c r="E1" s="3">
        <v>2008</v>
      </c>
      <c r="F1" s="3">
        <v>2009</v>
      </c>
      <c r="G1" s="3">
        <v>2010</v>
      </c>
      <c r="H1" s="3">
        <v>2011</v>
      </c>
      <c r="I1" s="3">
        <v>2012</v>
      </c>
      <c r="J1" s="3">
        <v>2013</v>
      </c>
      <c r="K1" s="3">
        <v>2014</v>
      </c>
      <c r="L1" s="3">
        <v>2015</v>
      </c>
      <c r="M1" s="3">
        <v>2016</v>
      </c>
      <c r="N1" s="3">
        <v>2017</v>
      </c>
      <c r="O1" s="3">
        <v>2018</v>
      </c>
      <c r="P1" s="3">
        <v>2019</v>
      </c>
      <c r="Q1" s="3">
        <v>2020</v>
      </c>
      <c r="R1" s="3">
        <v>2021</v>
      </c>
      <c r="S1" s="3">
        <v>2022</v>
      </c>
      <c r="T1" s="3">
        <v>2023</v>
      </c>
      <c r="U1" s="3">
        <v>2024</v>
      </c>
      <c r="V1" s="3">
        <v>2025</v>
      </c>
      <c r="W1" s="3">
        <v>2026</v>
      </c>
      <c r="X1" s="3">
        <v>2027</v>
      </c>
      <c r="Y1" s="3">
        <v>2028</v>
      </c>
      <c r="Z1" s="3">
        <v>2029</v>
      </c>
      <c r="AA1" s="3">
        <v>2030</v>
      </c>
      <c r="AB1" s="3">
        <v>2031</v>
      </c>
      <c r="AC1" s="3">
        <v>2032</v>
      </c>
      <c r="AD1" s="3">
        <v>2033</v>
      </c>
      <c r="AE1" s="3">
        <v>2034</v>
      </c>
      <c r="AF1" s="3">
        <v>2035</v>
      </c>
      <c r="AG1" s="3">
        <v>2036</v>
      </c>
    </row>
    <row r="2" spans="1:45" s="4" customFormat="1" ht="15" customHeight="1" x14ac:dyDescent="0.25">
      <c r="A2" s="8" t="s">
        <v>20</v>
      </c>
      <c r="B2" s="8" t="s">
        <v>21</v>
      </c>
      <c r="C2" s="8" t="s">
        <v>22</v>
      </c>
      <c r="D2" s="9" t="s">
        <v>23</v>
      </c>
      <c r="AI2" s="6"/>
    </row>
    <row r="3" spans="1:45" ht="15" customHeight="1" x14ac:dyDescent="0.25">
      <c r="A3" s="10" t="s">
        <v>15</v>
      </c>
      <c r="B3" s="2" t="s">
        <v>11</v>
      </c>
      <c r="C3" s="10" t="s">
        <v>14</v>
      </c>
      <c r="D3" s="11" t="s">
        <v>0</v>
      </c>
      <c r="E3" s="5">
        <v>29</v>
      </c>
      <c r="F3" s="5">
        <v>28.4</v>
      </c>
      <c r="G3" s="5">
        <v>31.2</v>
      </c>
      <c r="H3" s="5">
        <v>32.200000000000003</v>
      </c>
      <c r="I3" s="5">
        <v>30.1</v>
      </c>
      <c r="J3" s="5">
        <v>32</v>
      </c>
      <c r="K3" s="5">
        <v>32.6</v>
      </c>
      <c r="L3" s="5">
        <v>31.8</v>
      </c>
      <c r="M3" s="5">
        <v>26.6</v>
      </c>
      <c r="N3" s="5">
        <v>30</v>
      </c>
      <c r="O3" s="5">
        <v>33.799999999999997</v>
      </c>
      <c r="P3" s="5">
        <v>29.9</v>
      </c>
      <c r="Q3" s="5">
        <v>28.3</v>
      </c>
      <c r="R3" s="5">
        <v>26</v>
      </c>
      <c r="S3" s="5">
        <v>24.7</v>
      </c>
      <c r="T3" s="5">
        <v>28.1</v>
      </c>
      <c r="U3" s="5">
        <v>28.1</v>
      </c>
      <c r="V3" s="5">
        <v>29.6</v>
      </c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</row>
    <row r="4" spans="1:45" ht="15" customHeight="1" x14ac:dyDescent="0.25">
      <c r="D4" s="11" t="s">
        <v>1</v>
      </c>
      <c r="E4" s="5">
        <v>31.5</v>
      </c>
      <c r="F4" s="5">
        <v>29.3</v>
      </c>
      <c r="G4" s="5">
        <v>27.9</v>
      </c>
      <c r="H4" s="5">
        <v>27.4</v>
      </c>
      <c r="I4" s="5">
        <v>25.4</v>
      </c>
      <c r="J4" s="5">
        <v>33.700000000000003</v>
      </c>
      <c r="K4" s="5">
        <v>37.1</v>
      </c>
      <c r="L4" s="5">
        <v>35.200000000000003</v>
      </c>
      <c r="M4" s="5">
        <v>35.200000000000003</v>
      </c>
      <c r="N4" s="5">
        <v>39.299999999999997</v>
      </c>
      <c r="O4" s="5">
        <v>36.700000000000003</v>
      </c>
      <c r="P4" s="5">
        <v>35.6</v>
      </c>
      <c r="Q4" s="5">
        <v>34</v>
      </c>
      <c r="R4" s="5">
        <v>29.2</v>
      </c>
      <c r="S4" s="5">
        <v>31.6</v>
      </c>
      <c r="T4" s="5">
        <v>32.1</v>
      </c>
      <c r="U4" s="5">
        <v>36.4</v>
      </c>
      <c r="V4" s="5">
        <v>26.5</v>
      </c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</row>
    <row r="5" spans="1:45" ht="15" customHeight="1" x14ac:dyDescent="0.25">
      <c r="D5" s="11" t="s">
        <v>2</v>
      </c>
      <c r="E5" s="5">
        <v>18.600000000000001</v>
      </c>
      <c r="F5" s="5">
        <v>14.4</v>
      </c>
      <c r="G5" s="5">
        <v>14.2</v>
      </c>
      <c r="H5" s="5">
        <v>16.5</v>
      </c>
      <c r="I5" s="5">
        <v>19</v>
      </c>
      <c r="J5" s="5">
        <v>18.399999999999999</v>
      </c>
      <c r="K5" s="5">
        <v>17.100000000000001</v>
      </c>
      <c r="L5" s="5">
        <v>21.2</v>
      </c>
      <c r="M5" s="5">
        <v>21.7</v>
      </c>
      <c r="N5" s="5">
        <v>21.5</v>
      </c>
      <c r="O5" s="5">
        <v>22.9</v>
      </c>
      <c r="P5" s="5">
        <v>21.5</v>
      </c>
      <c r="Q5" s="5">
        <v>26.4</v>
      </c>
      <c r="R5" s="5">
        <v>22.7</v>
      </c>
      <c r="S5" s="5">
        <v>20.9</v>
      </c>
      <c r="T5" s="5">
        <v>23</v>
      </c>
      <c r="U5" s="5">
        <v>16.8</v>
      </c>
      <c r="V5" s="5">
        <v>16.600000000000001</v>
      </c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</row>
    <row r="6" spans="1:45" ht="15" customHeight="1" x14ac:dyDescent="0.25">
      <c r="A6" s="10" t="s">
        <v>15</v>
      </c>
      <c r="B6" s="2" t="s">
        <v>11</v>
      </c>
      <c r="C6" s="2" t="s">
        <v>12</v>
      </c>
      <c r="D6" s="11" t="s">
        <v>0</v>
      </c>
      <c r="E6" s="5">
        <v>71</v>
      </c>
      <c r="F6" s="5">
        <v>71.599999999999994</v>
      </c>
      <c r="G6" s="5">
        <v>68.8</v>
      </c>
      <c r="H6" s="5">
        <v>67.8</v>
      </c>
      <c r="I6" s="5">
        <v>69.900000000000006</v>
      </c>
      <c r="J6" s="5">
        <v>68</v>
      </c>
      <c r="K6" s="5">
        <v>67.400000000000006</v>
      </c>
      <c r="L6" s="5">
        <v>68.2</v>
      </c>
      <c r="M6" s="5">
        <v>73.400000000000006</v>
      </c>
      <c r="N6" s="5">
        <v>70</v>
      </c>
      <c r="O6" s="5">
        <v>66.2</v>
      </c>
      <c r="P6" s="5">
        <v>70.099999999999994</v>
      </c>
      <c r="Q6" s="5">
        <v>71.7</v>
      </c>
      <c r="R6" s="5">
        <v>74</v>
      </c>
      <c r="S6" s="5">
        <v>75.3</v>
      </c>
      <c r="T6" s="5">
        <v>71.900000000000006</v>
      </c>
      <c r="U6" s="5">
        <v>71.900000000000006</v>
      </c>
      <c r="V6" s="5">
        <v>70.400000000000006</v>
      </c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</row>
    <row r="7" spans="1:45" ht="15" customHeight="1" x14ac:dyDescent="0.25">
      <c r="D7" s="11" t="s">
        <v>1</v>
      </c>
      <c r="E7" s="5">
        <v>68.5</v>
      </c>
      <c r="F7" s="5">
        <v>70.7</v>
      </c>
      <c r="G7" s="5">
        <v>72.099999999999994</v>
      </c>
      <c r="H7" s="5">
        <v>72.599999999999994</v>
      </c>
      <c r="I7" s="5">
        <v>74.599999999999994</v>
      </c>
      <c r="J7" s="5">
        <v>66.3</v>
      </c>
      <c r="K7" s="5">
        <v>62.9</v>
      </c>
      <c r="L7" s="5">
        <v>64.8</v>
      </c>
      <c r="M7" s="5">
        <v>64.8</v>
      </c>
      <c r="N7" s="5">
        <v>60.7</v>
      </c>
      <c r="O7" s="5">
        <v>63.3</v>
      </c>
      <c r="P7" s="5">
        <v>64.400000000000006</v>
      </c>
      <c r="Q7" s="5">
        <v>66</v>
      </c>
      <c r="R7" s="5">
        <v>70.8</v>
      </c>
      <c r="S7" s="5">
        <v>68.400000000000006</v>
      </c>
      <c r="T7" s="5">
        <v>67.900000000000006</v>
      </c>
      <c r="U7" s="5">
        <v>63.6</v>
      </c>
      <c r="V7" s="5">
        <v>73.5</v>
      </c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</row>
    <row r="8" spans="1:45" ht="15" customHeight="1" x14ac:dyDescent="0.25">
      <c r="D8" s="11" t="s">
        <v>2</v>
      </c>
      <c r="E8" s="5">
        <v>81.400000000000006</v>
      </c>
      <c r="F8" s="5">
        <v>85.6</v>
      </c>
      <c r="G8" s="5">
        <v>85.8</v>
      </c>
      <c r="H8" s="5">
        <v>83.5</v>
      </c>
      <c r="I8" s="5">
        <v>81</v>
      </c>
      <c r="J8" s="5">
        <v>81.599999999999994</v>
      </c>
      <c r="K8" s="5">
        <v>82.9</v>
      </c>
      <c r="L8" s="5">
        <v>78.8</v>
      </c>
      <c r="M8" s="5">
        <v>78.3</v>
      </c>
      <c r="N8" s="5">
        <v>78.5</v>
      </c>
      <c r="O8" s="5">
        <v>77.099999999999994</v>
      </c>
      <c r="P8" s="5">
        <v>78.5</v>
      </c>
      <c r="Q8" s="5">
        <v>73.599999999999994</v>
      </c>
      <c r="R8" s="5">
        <v>77.3</v>
      </c>
      <c r="S8" s="5">
        <v>79.099999999999994</v>
      </c>
      <c r="T8" s="5">
        <v>77</v>
      </c>
      <c r="U8" s="5">
        <v>83.2</v>
      </c>
      <c r="V8" s="5">
        <v>83.4</v>
      </c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</row>
    <row r="9" spans="1:45" ht="15" customHeight="1" x14ac:dyDescent="0.25">
      <c r="A9" s="10" t="s">
        <v>15</v>
      </c>
      <c r="B9" s="2" t="s">
        <v>13</v>
      </c>
      <c r="C9" s="2" t="s">
        <v>14</v>
      </c>
      <c r="D9" s="11" t="s">
        <v>0</v>
      </c>
      <c r="E9" s="5">
        <v>23</v>
      </c>
      <c r="F9" s="5">
        <v>24.8</v>
      </c>
      <c r="G9" s="5">
        <v>28.2</v>
      </c>
      <c r="H9" s="5">
        <v>30.3</v>
      </c>
      <c r="I9" s="5">
        <v>29</v>
      </c>
      <c r="J9" s="5">
        <v>28.6</v>
      </c>
      <c r="K9" s="5">
        <v>28.4</v>
      </c>
      <c r="L9" s="5">
        <v>28.4</v>
      </c>
      <c r="M9" s="5">
        <v>26</v>
      </c>
      <c r="N9" s="5">
        <v>26</v>
      </c>
      <c r="O9" s="5">
        <v>32.9</v>
      </c>
      <c r="P9" s="5">
        <v>27</v>
      </c>
      <c r="Q9" s="5">
        <v>25.1</v>
      </c>
      <c r="R9" s="5">
        <v>27</v>
      </c>
      <c r="S9" s="5">
        <v>22.2</v>
      </c>
      <c r="T9" s="5">
        <v>29.1</v>
      </c>
      <c r="U9" s="5">
        <v>26.7</v>
      </c>
      <c r="V9" s="5">
        <v>28.6</v>
      </c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</row>
    <row r="10" spans="1:45" ht="15" customHeight="1" x14ac:dyDescent="0.25">
      <c r="D10" s="11" t="s">
        <v>1</v>
      </c>
      <c r="E10" s="5">
        <v>32.4</v>
      </c>
      <c r="F10" s="5">
        <v>28.8</v>
      </c>
      <c r="G10" s="5">
        <v>26.4</v>
      </c>
      <c r="H10" s="5">
        <v>28.7</v>
      </c>
      <c r="I10" s="5">
        <v>27.1</v>
      </c>
      <c r="J10" s="5">
        <v>35.1</v>
      </c>
      <c r="K10" s="5">
        <v>35.9</v>
      </c>
      <c r="L10" s="5">
        <v>34.9</v>
      </c>
      <c r="M10" s="5">
        <v>34.5</v>
      </c>
      <c r="N10" s="5">
        <v>39</v>
      </c>
      <c r="O10" s="5">
        <v>36.9</v>
      </c>
      <c r="P10" s="5">
        <v>37.799999999999997</v>
      </c>
      <c r="Q10" s="5">
        <v>35.299999999999997</v>
      </c>
      <c r="R10" s="5">
        <v>29.3</v>
      </c>
      <c r="S10" s="5">
        <v>30.3</v>
      </c>
      <c r="T10" s="5">
        <v>37.5</v>
      </c>
      <c r="U10" s="5">
        <v>33.200000000000003</v>
      </c>
      <c r="V10" s="5">
        <v>29.6</v>
      </c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</row>
    <row r="11" spans="1:45" ht="15" customHeight="1" x14ac:dyDescent="0.25">
      <c r="D11" s="11" t="s">
        <v>2</v>
      </c>
      <c r="E11" s="5">
        <v>20.7</v>
      </c>
      <c r="F11" s="5">
        <v>19.399999999999999</v>
      </c>
      <c r="G11" s="5">
        <v>15.8</v>
      </c>
      <c r="H11" s="5">
        <v>19.2</v>
      </c>
      <c r="I11" s="5">
        <v>17.5</v>
      </c>
      <c r="J11" s="5">
        <v>17.399999999999999</v>
      </c>
      <c r="K11" s="5">
        <v>16.5</v>
      </c>
      <c r="L11" s="5">
        <v>20.9</v>
      </c>
      <c r="M11" s="5">
        <v>21.5</v>
      </c>
      <c r="N11" s="5">
        <v>20.7</v>
      </c>
      <c r="O11" s="5">
        <v>22.6</v>
      </c>
      <c r="P11" s="5">
        <v>21.5</v>
      </c>
      <c r="Q11" s="5">
        <v>24.1</v>
      </c>
      <c r="R11" s="5">
        <v>24.1</v>
      </c>
      <c r="S11" s="5">
        <v>17.8</v>
      </c>
      <c r="T11" s="5">
        <v>16.2</v>
      </c>
      <c r="U11" s="5">
        <v>12.5</v>
      </c>
      <c r="V11" s="5">
        <v>11.4</v>
      </c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</row>
    <row r="12" spans="1:45" ht="15" customHeight="1" x14ac:dyDescent="0.25">
      <c r="A12" s="10" t="s">
        <v>15</v>
      </c>
      <c r="B12" s="2" t="s">
        <v>13</v>
      </c>
      <c r="C12" s="2" t="s">
        <v>12</v>
      </c>
      <c r="D12" s="11" t="s">
        <v>0</v>
      </c>
      <c r="E12" s="5">
        <v>77</v>
      </c>
      <c r="F12" s="5">
        <v>75.2</v>
      </c>
      <c r="G12" s="5">
        <v>71.8</v>
      </c>
      <c r="H12" s="5">
        <v>69.7</v>
      </c>
      <c r="I12" s="5">
        <v>71</v>
      </c>
      <c r="J12" s="5">
        <v>71.400000000000006</v>
      </c>
      <c r="K12" s="5">
        <v>71.599999999999994</v>
      </c>
      <c r="L12" s="5">
        <v>71.599999999999994</v>
      </c>
      <c r="M12" s="5">
        <v>74</v>
      </c>
      <c r="N12" s="5">
        <v>74</v>
      </c>
      <c r="O12" s="5">
        <v>67.099999999999994</v>
      </c>
      <c r="P12" s="5">
        <v>73</v>
      </c>
      <c r="Q12" s="5">
        <v>74.900000000000006</v>
      </c>
      <c r="R12" s="5">
        <v>73</v>
      </c>
      <c r="S12" s="5">
        <v>77.8</v>
      </c>
      <c r="T12" s="5">
        <v>70.900000000000006</v>
      </c>
      <c r="U12" s="5">
        <v>73.3</v>
      </c>
      <c r="V12" s="5">
        <v>71.400000000000006</v>
      </c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</row>
    <row r="13" spans="1:45" ht="15" customHeight="1" x14ac:dyDescent="0.25">
      <c r="D13" s="11" t="s">
        <v>1</v>
      </c>
      <c r="E13" s="5">
        <v>67.599999999999994</v>
      </c>
      <c r="F13" s="5">
        <v>71.2</v>
      </c>
      <c r="G13" s="5">
        <v>73.599999999999994</v>
      </c>
      <c r="H13" s="5">
        <v>71.3</v>
      </c>
      <c r="I13" s="5">
        <v>72.900000000000006</v>
      </c>
      <c r="J13" s="5">
        <v>64.900000000000006</v>
      </c>
      <c r="K13" s="5">
        <v>64.099999999999994</v>
      </c>
      <c r="L13" s="5">
        <v>65.099999999999994</v>
      </c>
      <c r="M13" s="5">
        <v>65.5</v>
      </c>
      <c r="N13" s="5">
        <v>61</v>
      </c>
      <c r="O13" s="5">
        <v>63.1</v>
      </c>
      <c r="P13" s="5">
        <v>62.2</v>
      </c>
      <c r="Q13" s="5">
        <v>64.7</v>
      </c>
      <c r="R13" s="5">
        <v>70.7</v>
      </c>
      <c r="S13" s="5">
        <v>69.7</v>
      </c>
      <c r="T13" s="5">
        <v>62.5</v>
      </c>
      <c r="U13" s="5">
        <v>66.8</v>
      </c>
      <c r="V13" s="5">
        <v>70.400000000000006</v>
      </c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</row>
    <row r="14" spans="1:45" ht="15" customHeight="1" x14ac:dyDescent="0.25">
      <c r="D14" s="11" t="s">
        <v>2</v>
      </c>
      <c r="E14" s="5">
        <v>79.3</v>
      </c>
      <c r="F14" s="5">
        <v>80.599999999999994</v>
      </c>
      <c r="G14" s="5">
        <v>84.2</v>
      </c>
      <c r="H14" s="5">
        <v>80.8</v>
      </c>
      <c r="I14" s="5">
        <v>82.5</v>
      </c>
      <c r="J14" s="5">
        <v>82.6</v>
      </c>
      <c r="K14" s="5">
        <v>83.5</v>
      </c>
      <c r="L14" s="5">
        <v>79.099999999999994</v>
      </c>
      <c r="M14" s="5">
        <v>78.5</v>
      </c>
      <c r="N14" s="5">
        <v>79.3</v>
      </c>
      <c r="O14" s="5">
        <v>77.400000000000006</v>
      </c>
      <c r="P14" s="5">
        <v>78.5</v>
      </c>
      <c r="Q14" s="5">
        <v>75.900000000000006</v>
      </c>
      <c r="R14" s="5">
        <v>75.900000000000006</v>
      </c>
      <c r="S14" s="5">
        <v>82.2</v>
      </c>
      <c r="T14" s="5">
        <v>83.8</v>
      </c>
      <c r="U14" s="5">
        <v>87.5</v>
      </c>
      <c r="V14" s="5">
        <v>88.6</v>
      </c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</row>
    <row r="15" spans="1:45" ht="15" customHeight="1" x14ac:dyDescent="0.25">
      <c r="A15" s="2" t="s">
        <v>16</v>
      </c>
      <c r="B15" s="2" t="s">
        <v>11</v>
      </c>
      <c r="C15" s="2" t="s">
        <v>14</v>
      </c>
      <c r="D15" s="11" t="s">
        <v>0</v>
      </c>
      <c r="E15" s="5">
        <v>45.9</v>
      </c>
      <c r="F15" s="5">
        <v>37.6</v>
      </c>
      <c r="G15" s="5">
        <v>43</v>
      </c>
      <c r="H15" s="5">
        <v>46.6</v>
      </c>
      <c r="I15" s="5">
        <v>49.5</v>
      </c>
      <c r="J15" s="5">
        <v>46.4</v>
      </c>
      <c r="K15" s="5">
        <v>47.6</v>
      </c>
      <c r="L15" s="5">
        <v>47.8</v>
      </c>
      <c r="M15" s="5">
        <v>45.9</v>
      </c>
      <c r="N15" s="5">
        <v>46.2</v>
      </c>
      <c r="O15" s="5">
        <v>50.2</v>
      </c>
      <c r="P15" s="5">
        <v>45.1</v>
      </c>
      <c r="Q15" s="5">
        <v>40.200000000000003</v>
      </c>
      <c r="R15" s="5">
        <v>41.5</v>
      </c>
      <c r="S15" s="5">
        <v>41.8</v>
      </c>
      <c r="T15" s="5">
        <v>43.1</v>
      </c>
      <c r="U15" s="5">
        <v>42.7</v>
      </c>
      <c r="V15" s="5">
        <v>43.8</v>
      </c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</row>
    <row r="16" spans="1:45" ht="15" customHeight="1" x14ac:dyDescent="0.25">
      <c r="D16" s="11" t="s">
        <v>1</v>
      </c>
      <c r="E16" s="5">
        <v>46</v>
      </c>
      <c r="F16" s="5">
        <v>45.2</v>
      </c>
      <c r="G16" s="5">
        <v>42.1</v>
      </c>
      <c r="H16" s="5">
        <v>42.1</v>
      </c>
      <c r="I16" s="5">
        <v>35.200000000000003</v>
      </c>
      <c r="J16" s="5">
        <v>42.9</v>
      </c>
      <c r="K16" s="5">
        <v>49.5</v>
      </c>
      <c r="L16" s="5">
        <v>46.8</v>
      </c>
      <c r="M16" s="5">
        <v>48</v>
      </c>
      <c r="N16" s="5">
        <v>53.7</v>
      </c>
      <c r="O16" s="5">
        <v>49.4</v>
      </c>
      <c r="P16" s="5">
        <v>50.1</v>
      </c>
      <c r="Q16" s="5">
        <v>50.8</v>
      </c>
      <c r="R16" s="5">
        <v>45.2</v>
      </c>
      <c r="S16" s="5">
        <v>44.8</v>
      </c>
      <c r="T16" s="5">
        <v>49.1</v>
      </c>
      <c r="U16" s="5">
        <v>52.2</v>
      </c>
      <c r="V16" s="5">
        <v>44.2</v>
      </c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</row>
    <row r="17" spans="1:45" ht="15" customHeight="1" x14ac:dyDescent="0.25">
      <c r="D17" s="11" t="s">
        <v>2</v>
      </c>
      <c r="E17" s="5">
        <v>40.1</v>
      </c>
      <c r="F17" s="5">
        <v>32.799999999999997</v>
      </c>
      <c r="G17" s="5">
        <v>32.700000000000003</v>
      </c>
      <c r="H17" s="5">
        <v>33.200000000000003</v>
      </c>
      <c r="I17" s="5">
        <v>35.9</v>
      </c>
      <c r="J17" s="5">
        <v>35.1</v>
      </c>
      <c r="K17" s="5">
        <v>32.700000000000003</v>
      </c>
      <c r="L17" s="5">
        <v>40.299999999999997</v>
      </c>
      <c r="M17" s="5">
        <v>38.799999999999997</v>
      </c>
      <c r="N17" s="5">
        <v>38.299999999999997</v>
      </c>
      <c r="O17" s="5">
        <v>35</v>
      </c>
      <c r="P17" s="5">
        <v>36.799999999999997</v>
      </c>
      <c r="Q17" s="5">
        <v>39.200000000000003</v>
      </c>
      <c r="R17" s="5">
        <v>38</v>
      </c>
      <c r="S17" s="5">
        <v>32.799999999999997</v>
      </c>
      <c r="T17" s="5">
        <v>33.5</v>
      </c>
      <c r="U17" s="5">
        <v>29.5</v>
      </c>
      <c r="V17" s="5">
        <v>28.9</v>
      </c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</row>
    <row r="18" spans="1:45" ht="15" customHeight="1" x14ac:dyDescent="0.25">
      <c r="A18" s="2" t="s">
        <v>16</v>
      </c>
      <c r="B18" s="2" t="s">
        <v>11</v>
      </c>
      <c r="C18" s="2" t="s">
        <v>12</v>
      </c>
      <c r="D18" s="11" t="s">
        <v>0</v>
      </c>
      <c r="E18" s="5">
        <v>54.1</v>
      </c>
      <c r="F18" s="5">
        <v>62.4</v>
      </c>
      <c r="G18" s="5">
        <v>57</v>
      </c>
      <c r="H18" s="5">
        <v>53.4</v>
      </c>
      <c r="I18" s="5">
        <v>50.5</v>
      </c>
      <c r="J18" s="5">
        <v>53.6</v>
      </c>
      <c r="K18" s="5">
        <v>52.4</v>
      </c>
      <c r="L18" s="5">
        <v>52.2</v>
      </c>
      <c r="M18" s="5">
        <v>54.1</v>
      </c>
      <c r="N18" s="5">
        <v>53.8</v>
      </c>
      <c r="O18" s="5">
        <v>49.8</v>
      </c>
      <c r="P18" s="5">
        <v>54.9</v>
      </c>
      <c r="Q18" s="5">
        <v>59.8</v>
      </c>
      <c r="R18" s="5">
        <v>58.5</v>
      </c>
      <c r="S18" s="5">
        <v>58.2</v>
      </c>
      <c r="T18" s="5">
        <v>56.9</v>
      </c>
      <c r="U18" s="5">
        <v>57.3</v>
      </c>
      <c r="V18" s="5">
        <v>56.2</v>
      </c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</row>
    <row r="19" spans="1:45" ht="15" customHeight="1" x14ac:dyDescent="0.25">
      <c r="D19" s="11" t="s">
        <v>1</v>
      </c>
      <c r="E19" s="5">
        <v>54</v>
      </c>
      <c r="F19" s="5">
        <v>54.8</v>
      </c>
      <c r="G19" s="5">
        <v>57.9</v>
      </c>
      <c r="H19" s="5">
        <v>57.9</v>
      </c>
      <c r="I19" s="5">
        <v>64.8</v>
      </c>
      <c r="J19" s="5">
        <v>57.1</v>
      </c>
      <c r="K19" s="5">
        <v>50.5</v>
      </c>
      <c r="L19" s="5">
        <v>53.2</v>
      </c>
      <c r="M19" s="5">
        <v>52</v>
      </c>
      <c r="N19" s="5">
        <v>46.3</v>
      </c>
      <c r="O19" s="5">
        <v>50.6</v>
      </c>
      <c r="P19" s="5">
        <v>49.9</v>
      </c>
      <c r="Q19" s="5">
        <v>49.2</v>
      </c>
      <c r="R19" s="5">
        <v>54.8</v>
      </c>
      <c r="S19" s="5">
        <v>55.2</v>
      </c>
      <c r="T19" s="5">
        <v>50.9</v>
      </c>
      <c r="U19" s="5">
        <v>47.8</v>
      </c>
      <c r="V19" s="5">
        <v>55.8</v>
      </c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</row>
    <row r="20" spans="1:45" ht="15" customHeight="1" x14ac:dyDescent="0.25">
      <c r="D20" s="11" t="s">
        <v>2</v>
      </c>
      <c r="E20" s="5">
        <v>59.9</v>
      </c>
      <c r="F20" s="5">
        <v>67.2</v>
      </c>
      <c r="G20" s="5">
        <v>67.3</v>
      </c>
      <c r="H20" s="5">
        <v>66.8</v>
      </c>
      <c r="I20" s="5">
        <v>64.099999999999994</v>
      </c>
      <c r="J20" s="5">
        <v>64.900000000000006</v>
      </c>
      <c r="K20" s="5">
        <v>67.3</v>
      </c>
      <c r="L20" s="5">
        <v>59.7</v>
      </c>
      <c r="M20" s="5">
        <v>61.2</v>
      </c>
      <c r="N20" s="5">
        <v>61.7</v>
      </c>
      <c r="O20" s="5">
        <v>65</v>
      </c>
      <c r="P20" s="5">
        <v>63.2</v>
      </c>
      <c r="Q20" s="5">
        <v>60.8</v>
      </c>
      <c r="R20" s="5">
        <v>62</v>
      </c>
      <c r="S20" s="5">
        <v>67.2</v>
      </c>
      <c r="T20" s="5">
        <v>66.5</v>
      </c>
      <c r="U20" s="5">
        <v>70.5</v>
      </c>
      <c r="V20" s="5">
        <v>71.099999999999994</v>
      </c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</row>
    <row r="21" spans="1:45" ht="15" customHeight="1" x14ac:dyDescent="0.25">
      <c r="A21" s="2" t="s">
        <v>16</v>
      </c>
      <c r="B21" s="2" t="s">
        <v>13</v>
      </c>
      <c r="C21" s="2" t="s">
        <v>14</v>
      </c>
      <c r="D21" s="11" t="s">
        <v>0</v>
      </c>
      <c r="E21" s="5">
        <v>44.2</v>
      </c>
      <c r="F21" s="5">
        <v>38.5</v>
      </c>
      <c r="G21" s="5">
        <v>38.4</v>
      </c>
      <c r="H21" s="5">
        <v>41.8</v>
      </c>
      <c r="I21" s="5">
        <v>48.3</v>
      </c>
      <c r="J21" s="5">
        <v>46.6</v>
      </c>
      <c r="K21" s="5">
        <v>47.1</v>
      </c>
      <c r="L21" s="5">
        <v>47.2</v>
      </c>
      <c r="M21" s="5">
        <v>39.6</v>
      </c>
      <c r="N21" s="5">
        <v>44.7</v>
      </c>
      <c r="O21" s="5">
        <v>47</v>
      </c>
      <c r="P21" s="5">
        <v>44.1</v>
      </c>
      <c r="Q21" s="5">
        <v>43.5</v>
      </c>
      <c r="R21" s="5">
        <v>42.5</v>
      </c>
      <c r="S21" s="5">
        <v>37.200000000000003</v>
      </c>
      <c r="T21" s="5">
        <v>43</v>
      </c>
      <c r="U21" s="5">
        <v>34.200000000000003</v>
      </c>
      <c r="V21" s="5">
        <v>38</v>
      </c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</row>
    <row r="22" spans="1:45" ht="15" customHeight="1" x14ac:dyDescent="0.25">
      <c r="D22" s="11" t="s">
        <v>1</v>
      </c>
      <c r="E22" s="5">
        <v>52.1</v>
      </c>
      <c r="F22" s="5">
        <v>48.9</v>
      </c>
      <c r="G22" s="5">
        <v>47.2</v>
      </c>
      <c r="H22" s="5">
        <v>46.3</v>
      </c>
      <c r="I22" s="5">
        <v>38.5</v>
      </c>
      <c r="J22" s="5">
        <v>52.2</v>
      </c>
      <c r="K22" s="5">
        <v>50.5</v>
      </c>
      <c r="L22" s="5">
        <v>52.3</v>
      </c>
      <c r="M22" s="5">
        <v>48.8</v>
      </c>
      <c r="N22" s="5">
        <v>53.1</v>
      </c>
      <c r="O22" s="5">
        <v>51.1</v>
      </c>
      <c r="P22" s="5">
        <v>50.3</v>
      </c>
      <c r="Q22" s="5">
        <v>52</v>
      </c>
      <c r="R22" s="5">
        <v>47.2</v>
      </c>
      <c r="S22" s="5">
        <v>49.6</v>
      </c>
      <c r="T22" s="5">
        <v>47.9</v>
      </c>
      <c r="U22" s="5">
        <v>49.8</v>
      </c>
      <c r="V22" s="5">
        <v>42.7</v>
      </c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</row>
    <row r="23" spans="1:45" ht="15" customHeight="1" x14ac:dyDescent="0.25">
      <c r="D23" s="11" t="s">
        <v>2</v>
      </c>
      <c r="E23" s="5">
        <v>41.7</v>
      </c>
      <c r="F23" s="5">
        <v>37.1</v>
      </c>
      <c r="G23" s="5">
        <v>32.799999999999997</v>
      </c>
      <c r="H23" s="5">
        <v>32.799999999999997</v>
      </c>
      <c r="I23" s="5">
        <v>34.299999999999997</v>
      </c>
      <c r="J23" s="5">
        <v>34.6</v>
      </c>
      <c r="K23" s="5">
        <v>33</v>
      </c>
      <c r="L23" s="5">
        <v>40.200000000000003</v>
      </c>
      <c r="M23" s="5">
        <v>38.299999999999997</v>
      </c>
      <c r="N23" s="5">
        <v>35.700000000000003</v>
      </c>
      <c r="O23" s="5">
        <v>36.200000000000003</v>
      </c>
      <c r="P23" s="5">
        <v>38.9</v>
      </c>
      <c r="Q23" s="5">
        <v>39.4</v>
      </c>
      <c r="R23" s="5">
        <v>37.9</v>
      </c>
      <c r="S23" s="5">
        <v>34.9</v>
      </c>
      <c r="T23" s="5">
        <v>31.5</v>
      </c>
      <c r="U23" s="5">
        <v>25.9</v>
      </c>
      <c r="V23" s="5">
        <v>26.8</v>
      </c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</row>
    <row r="24" spans="1:45" ht="15" customHeight="1" x14ac:dyDescent="0.25">
      <c r="A24" s="2" t="s">
        <v>16</v>
      </c>
      <c r="B24" s="2" t="s">
        <v>13</v>
      </c>
      <c r="C24" s="2" t="s">
        <v>12</v>
      </c>
      <c r="D24" s="11" t="s">
        <v>0</v>
      </c>
      <c r="E24" s="5">
        <v>55.8</v>
      </c>
      <c r="F24" s="5">
        <v>61.5</v>
      </c>
      <c r="G24" s="5">
        <v>61.6</v>
      </c>
      <c r="H24" s="5">
        <v>58.2</v>
      </c>
      <c r="I24" s="5">
        <v>51.7</v>
      </c>
      <c r="J24" s="5">
        <v>53.4</v>
      </c>
      <c r="K24" s="5">
        <v>52.9</v>
      </c>
      <c r="L24" s="5">
        <v>52.8</v>
      </c>
      <c r="M24" s="5">
        <v>60.4</v>
      </c>
      <c r="N24" s="5">
        <v>55.3</v>
      </c>
      <c r="O24" s="5">
        <v>53</v>
      </c>
      <c r="P24" s="5">
        <v>55.9</v>
      </c>
      <c r="Q24" s="5">
        <v>56.5</v>
      </c>
      <c r="R24" s="5">
        <v>57.5</v>
      </c>
      <c r="S24" s="5">
        <v>62.8</v>
      </c>
      <c r="T24" s="5">
        <v>57</v>
      </c>
      <c r="U24" s="5">
        <v>65.8</v>
      </c>
      <c r="V24" s="5">
        <v>62</v>
      </c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</row>
    <row r="25" spans="1:45" ht="15" customHeight="1" x14ac:dyDescent="0.25">
      <c r="D25" s="11" t="s">
        <v>1</v>
      </c>
      <c r="E25" s="5">
        <v>47.9</v>
      </c>
      <c r="F25" s="5">
        <v>51.1</v>
      </c>
      <c r="G25" s="5">
        <v>52.8</v>
      </c>
      <c r="H25" s="5">
        <v>53.7</v>
      </c>
      <c r="I25" s="5">
        <v>61.5</v>
      </c>
      <c r="J25" s="5">
        <v>47.8</v>
      </c>
      <c r="K25" s="5">
        <v>49.5</v>
      </c>
      <c r="L25" s="5">
        <v>47.7</v>
      </c>
      <c r="M25" s="5">
        <v>51.2</v>
      </c>
      <c r="N25" s="5">
        <v>46.9</v>
      </c>
      <c r="O25" s="5">
        <v>48.9</v>
      </c>
      <c r="P25" s="5">
        <v>49.7</v>
      </c>
      <c r="Q25" s="5">
        <v>48</v>
      </c>
      <c r="R25" s="5">
        <v>52.8</v>
      </c>
      <c r="S25" s="5">
        <v>50.4</v>
      </c>
      <c r="T25" s="5">
        <v>52.1</v>
      </c>
      <c r="U25" s="5">
        <v>50.2</v>
      </c>
      <c r="V25" s="5">
        <v>57.3</v>
      </c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</row>
    <row r="26" spans="1:45" ht="15" customHeight="1" x14ac:dyDescent="0.25">
      <c r="D26" s="11" t="s">
        <v>2</v>
      </c>
      <c r="E26" s="5">
        <v>58.3</v>
      </c>
      <c r="F26" s="5">
        <v>62.9</v>
      </c>
      <c r="G26" s="5">
        <v>67.2</v>
      </c>
      <c r="H26" s="5">
        <v>67.2</v>
      </c>
      <c r="I26" s="5">
        <v>65.7</v>
      </c>
      <c r="J26" s="5">
        <v>65.400000000000006</v>
      </c>
      <c r="K26" s="5">
        <v>67</v>
      </c>
      <c r="L26" s="5">
        <v>59.8</v>
      </c>
      <c r="M26" s="5">
        <v>61.7</v>
      </c>
      <c r="N26" s="5">
        <v>64.3</v>
      </c>
      <c r="O26" s="5">
        <v>63.8</v>
      </c>
      <c r="P26" s="5">
        <v>61.1</v>
      </c>
      <c r="Q26" s="5">
        <v>60.6</v>
      </c>
      <c r="R26" s="5">
        <v>62.1</v>
      </c>
      <c r="S26" s="5">
        <v>65.099999999999994</v>
      </c>
      <c r="T26" s="5">
        <v>68.5</v>
      </c>
      <c r="U26" s="5">
        <v>74.099999999999994</v>
      </c>
      <c r="V26" s="5">
        <v>73.2</v>
      </c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</row>
    <row r="27" spans="1:45" ht="15" customHeight="1" x14ac:dyDescent="0.25">
      <c r="A27" s="2" t="s">
        <v>17</v>
      </c>
      <c r="B27" s="2" t="s">
        <v>11</v>
      </c>
      <c r="C27" s="2" t="s">
        <v>14</v>
      </c>
      <c r="D27" s="11" t="s">
        <v>0</v>
      </c>
      <c r="E27" s="5">
        <v>64.099999999999994</v>
      </c>
      <c r="F27" s="5">
        <v>52.1</v>
      </c>
      <c r="G27" s="5">
        <v>59.1</v>
      </c>
      <c r="H27" s="5">
        <v>57</v>
      </c>
      <c r="I27" s="5">
        <v>59.3</v>
      </c>
      <c r="J27" s="5">
        <v>62</v>
      </c>
      <c r="K27" s="5">
        <v>59.3</v>
      </c>
      <c r="L27" s="5">
        <v>62</v>
      </c>
      <c r="M27" s="5">
        <v>56.5</v>
      </c>
      <c r="N27" s="5">
        <v>57.2</v>
      </c>
      <c r="O27" s="5">
        <v>55.8</v>
      </c>
      <c r="P27" s="5">
        <v>53.4</v>
      </c>
      <c r="Q27" s="5">
        <v>56</v>
      </c>
      <c r="R27" s="5">
        <v>52.4</v>
      </c>
      <c r="S27" s="5">
        <v>49.3</v>
      </c>
      <c r="T27" s="5">
        <v>52.7</v>
      </c>
      <c r="U27" s="5">
        <v>52.1</v>
      </c>
      <c r="V27" s="5">
        <v>52.3</v>
      </c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</row>
    <row r="28" spans="1:45" ht="15" customHeight="1" x14ac:dyDescent="0.25">
      <c r="D28" s="11" t="s">
        <v>1</v>
      </c>
      <c r="E28" s="5">
        <v>56.7</v>
      </c>
      <c r="F28" s="5">
        <v>60</v>
      </c>
      <c r="G28" s="5">
        <v>57.4</v>
      </c>
      <c r="H28" s="5">
        <v>58.8</v>
      </c>
      <c r="I28" s="5">
        <v>56.8</v>
      </c>
      <c r="J28" s="5">
        <v>66.599999999999994</v>
      </c>
      <c r="K28" s="5">
        <v>64.099999999999994</v>
      </c>
      <c r="L28" s="5">
        <v>63.8</v>
      </c>
      <c r="M28" s="5">
        <v>60</v>
      </c>
      <c r="N28" s="5">
        <v>62.4</v>
      </c>
      <c r="O28" s="5">
        <v>63.7</v>
      </c>
      <c r="P28" s="5">
        <v>64.7</v>
      </c>
      <c r="Q28" s="5">
        <v>63.1</v>
      </c>
      <c r="R28" s="5">
        <v>59.5</v>
      </c>
      <c r="S28" s="5">
        <v>61.6</v>
      </c>
      <c r="T28" s="5">
        <v>61.1</v>
      </c>
      <c r="U28" s="5">
        <v>66.7</v>
      </c>
      <c r="V28" s="5">
        <v>55.9</v>
      </c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</row>
    <row r="29" spans="1:45" ht="15" customHeight="1" x14ac:dyDescent="0.25">
      <c r="D29" s="11" t="s">
        <v>2</v>
      </c>
      <c r="E29" s="5">
        <v>49.4</v>
      </c>
      <c r="F29" s="5">
        <v>48.8</v>
      </c>
      <c r="G29" s="5">
        <v>44.8</v>
      </c>
      <c r="H29" s="5">
        <v>49</v>
      </c>
      <c r="I29" s="5">
        <v>52.1</v>
      </c>
      <c r="J29" s="5">
        <v>49.2</v>
      </c>
      <c r="K29" s="5">
        <v>49</v>
      </c>
      <c r="L29" s="5">
        <v>56.3</v>
      </c>
      <c r="M29" s="5">
        <v>50.5</v>
      </c>
      <c r="N29" s="5">
        <v>53.6</v>
      </c>
      <c r="O29" s="5">
        <v>54.9</v>
      </c>
      <c r="P29" s="5">
        <v>49.6</v>
      </c>
      <c r="Q29" s="5">
        <v>51.2</v>
      </c>
      <c r="R29" s="5">
        <v>56.1</v>
      </c>
      <c r="S29" s="5">
        <v>49.3</v>
      </c>
      <c r="T29" s="5">
        <v>46.1</v>
      </c>
      <c r="U29" s="5">
        <v>36.1</v>
      </c>
      <c r="V29" s="5">
        <v>36.299999999999997</v>
      </c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0" spans="1:45" ht="15" customHeight="1" x14ac:dyDescent="0.25">
      <c r="A30" s="2" t="s">
        <v>17</v>
      </c>
      <c r="B30" s="2" t="s">
        <v>11</v>
      </c>
      <c r="C30" s="2" t="s">
        <v>12</v>
      </c>
      <c r="D30" s="11" t="s">
        <v>0</v>
      </c>
      <c r="E30" s="5">
        <v>35.9</v>
      </c>
      <c r="F30" s="5">
        <v>47.9</v>
      </c>
      <c r="G30" s="5">
        <v>40.9</v>
      </c>
      <c r="H30" s="5">
        <v>43</v>
      </c>
      <c r="I30" s="5">
        <v>40.700000000000003</v>
      </c>
      <c r="J30" s="5">
        <v>38</v>
      </c>
      <c r="K30" s="5">
        <v>40.700000000000003</v>
      </c>
      <c r="L30" s="5">
        <v>38</v>
      </c>
      <c r="M30" s="5">
        <v>43.5</v>
      </c>
      <c r="N30" s="5">
        <v>42.8</v>
      </c>
      <c r="O30" s="5">
        <v>44.2</v>
      </c>
      <c r="P30" s="5">
        <v>46.6</v>
      </c>
      <c r="Q30" s="5">
        <v>44</v>
      </c>
      <c r="R30" s="5">
        <v>47.6</v>
      </c>
      <c r="S30" s="5">
        <v>50.7</v>
      </c>
      <c r="T30" s="5">
        <v>47.3</v>
      </c>
      <c r="U30" s="5">
        <v>47.9</v>
      </c>
      <c r="V30" s="5">
        <v>47.7</v>
      </c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</row>
    <row r="31" spans="1:45" ht="15" customHeight="1" x14ac:dyDescent="0.25">
      <c r="D31" s="11" t="s">
        <v>1</v>
      </c>
      <c r="E31" s="5">
        <v>43.3</v>
      </c>
      <c r="F31" s="5">
        <v>40</v>
      </c>
      <c r="G31" s="5">
        <v>42.6</v>
      </c>
      <c r="H31" s="5">
        <v>41.2</v>
      </c>
      <c r="I31" s="5">
        <v>43.2</v>
      </c>
      <c r="J31" s="5">
        <v>33.4</v>
      </c>
      <c r="K31" s="5">
        <v>35.9</v>
      </c>
      <c r="L31" s="5">
        <v>36.200000000000003</v>
      </c>
      <c r="M31" s="5">
        <v>40</v>
      </c>
      <c r="N31" s="5">
        <v>37.6</v>
      </c>
      <c r="O31" s="5">
        <v>36.299999999999997</v>
      </c>
      <c r="P31" s="5">
        <v>35.299999999999997</v>
      </c>
      <c r="Q31" s="5">
        <v>36.9</v>
      </c>
      <c r="R31" s="5">
        <v>40.5</v>
      </c>
      <c r="S31" s="5">
        <v>38.4</v>
      </c>
      <c r="T31" s="5">
        <v>38.9</v>
      </c>
      <c r="U31" s="5">
        <v>33.299999999999997</v>
      </c>
      <c r="V31" s="5">
        <v>44.1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</row>
    <row r="32" spans="1:45" ht="15" customHeight="1" x14ac:dyDescent="0.25">
      <c r="D32" s="11" t="s">
        <v>2</v>
      </c>
      <c r="E32" s="5">
        <v>50.6</v>
      </c>
      <c r="F32" s="5">
        <v>51.2</v>
      </c>
      <c r="G32" s="5">
        <v>55.2</v>
      </c>
      <c r="H32" s="5">
        <v>51</v>
      </c>
      <c r="I32" s="5">
        <v>47.9</v>
      </c>
      <c r="J32" s="5">
        <v>50.8</v>
      </c>
      <c r="K32" s="5">
        <v>51</v>
      </c>
      <c r="L32" s="5">
        <v>43.7</v>
      </c>
      <c r="M32" s="5">
        <v>49.5</v>
      </c>
      <c r="N32" s="5">
        <v>46.4</v>
      </c>
      <c r="O32" s="5">
        <v>45.1</v>
      </c>
      <c r="P32" s="5">
        <v>50.4</v>
      </c>
      <c r="Q32" s="5">
        <v>48.8</v>
      </c>
      <c r="R32" s="5">
        <v>43.9</v>
      </c>
      <c r="S32" s="5">
        <v>50.7</v>
      </c>
      <c r="T32" s="5">
        <v>53.9</v>
      </c>
      <c r="U32" s="5">
        <v>63.9</v>
      </c>
      <c r="V32" s="5">
        <v>63.7</v>
      </c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</row>
    <row r="33" spans="1:33" ht="15" customHeight="1" x14ac:dyDescent="0.25">
      <c r="A33" s="2" t="s">
        <v>17</v>
      </c>
      <c r="B33" s="2" t="s">
        <v>13</v>
      </c>
      <c r="C33" s="2" t="s">
        <v>14</v>
      </c>
      <c r="D33" s="11" t="s">
        <v>0</v>
      </c>
      <c r="E33" s="5">
        <v>66.7</v>
      </c>
      <c r="F33" s="5">
        <v>61.3</v>
      </c>
      <c r="G33" s="5">
        <v>61.7</v>
      </c>
      <c r="H33" s="5">
        <v>61.8</v>
      </c>
      <c r="I33" s="5">
        <v>63</v>
      </c>
      <c r="J33" s="5">
        <v>60.7</v>
      </c>
      <c r="K33" s="5">
        <v>60.4</v>
      </c>
      <c r="L33" s="5">
        <v>64.599999999999994</v>
      </c>
      <c r="M33" s="5">
        <v>54.2</v>
      </c>
      <c r="N33" s="5">
        <v>57.7</v>
      </c>
      <c r="O33" s="5">
        <v>62.4</v>
      </c>
      <c r="P33" s="5">
        <v>55.3</v>
      </c>
      <c r="Q33" s="5">
        <v>51.2</v>
      </c>
      <c r="R33" s="5">
        <v>51</v>
      </c>
      <c r="S33" s="5">
        <v>49.2</v>
      </c>
      <c r="T33" s="5">
        <v>49.7</v>
      </c>
      <c r="U33" s="5">
        <v>49.9</v>
      </c>
      <c r="V33" s="5">
        <v>49.7</v>
      </c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</row>
    <row r="34" spans="1:33" ht="15" customHeight="1" x14ac:dyDescent="0.25">
      <c r="D34" s="11" t="s">
        <v>1</v>
      </c>
      <c r="E34" s="5">
        <v>64.2</v>
      </c>
      <c r="F34" s="5">
        <v>60.7</v>
      </c>
      <c r="G34" s="5">
        <v>61.3</v>
      </c>
      <c r="H34" s="5">
        <v>65.099999999999994</v>
      </c>
      <c r="I34" s="5">
        <v>57</v>
      </c>
      <c r="J34" s="5">
        <v>71.400000000000006</v>
      </c>
      <c r="K34" s="5">
        <v>67.599999999999994</v>
      </c>
      <c r="L34" s="5">
        <v>70.900000000000006</v>
      </c>
      <c r="M34" s="5">
        <v>68.3</v>
      </c>
      <c r="N34" s="5">
        <v>69.099999999999994</v>
      </c>
      <c r="O34" s="5">
        <v>65.599999999999994</v>
      </c>
      <c r="P34" s="5">
        <v>65.900000000000006</v>
      </c>
      <c r="Q34" s="5">
        <v>66.3</v>
      </c>
      <c r="R34" s="5">
        <v>62.1</v>
      </c>
      <c r="S34" s="5">
        <v>64.2</v>
      </c>
      <c r="T34" s="5">
        <v>64.099999999999994</v>
      </c>
      <c r="U34" s="5">
        <v>66.3</v>
      </c>
      <c r="V34" s="5">
        <v>57.8</v>
      </c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</row>
    <row r="35" spans="1:33" ht="15" customHeight="1" x14ac:dyDescent="0.25">
      <c r="D35" s="11" t="s">
        <v>2</v>
      </c>
      <c r="E35" s="5">
        <v>59.9</v>
      </c>
      <c r="F35" s="5">
        <v>54</v>
      </c>
      <c r="G35" s="5">
        <v>54.3</v>
      </c>
      <c r="H35" s="5">
        <v>55</v>
      </c>
      <c r="I35" s="5">
        <v>58.6</v>
      </c>
      <c r="J35" s="5">
        <v>54.5</v>
      </c>
      <c r="K35" s="5">
        <v>59</v>
      </c>
      <c r="L35" s="5">
        <v>60.2</v>
      </c>
      <c r="M35" s="5">
        <v>58.6</v>
      </c>
      <c r="N35" s="5">
        <v>61.8</v>
      </c>
      <c r="O35" s="5">
        <v>58.5</v>
      </c>
      <c r="P35" s="5">
        <v>56.5</v>
      </c>
      <c r="Q35" s="5">
        <v>55.2</v>
      </c>
      <c r="R35" s="5">
        <v>52.1</v>
      </c>
      <c r="S35" s="5">
        <v>45.6</v>
      </c>
      <c r="T35" s="5">
        <v>44.8</v>
      </c>
      <c r="U35" s="5">
        <v>38.299999999999997</v>
      </c>
      <c r="V35" s="5">
        <v>38.6</v>
      </c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</row>
    <row r="36" spans="1:33" ht="15" customHeight="1" x14ac:dyDescent="0.25">
      <c r="A36" s="2" t="s">
        <v>17</v>
      </c>
      <c r="B36" s="2" t="s">
        <v>13</v>
      </c>
      <c r="C36" s="2" t="s">
        <v>12</v>
      </c>
      <c r="D36" s="11" t="s">
        <v>0</v>
      </c>
      <c r="E36" s="5">
        <v>33.299999999999997</v>
      </c>
      <c r="F36" s="5">
        <v>38.700000000000003</v>
      </c>
      <c r="G36" s="5">
        <v>38.299999999999997</v>
      </c>
      <c r="H36" s="5">
        <v>38.200000000000003</v>
      </c>
      <c r="I36" s="5">
        <v>37</v>
      </c>
      <c r="J36" s="5">
        <v>39.299999999999997</v>
      </c>
      <c r="K36" s="5">
        <v>39.6</v>
      </c>
      <c r="L36" s="5">
        <v>35.4</v>
      </c>
      <c r="M36" s="5">
        <v>45.8</v>
      </c>
      <c r="N36" s="5">
        <v>42.3</v>
      </c>
      <c r="O36" s="5">
        <v>37.6</v>
      </c>
      <c r="P36" s="5">
        <v>44.7</v>
      </c>
      <c r="Q36" s="5">
        <v>48.8</v>
      </c>
      <c r="R36" s="5">
        <v>49</v>
      </c>
      <c r="S36" s="5">
        <v>50.8</v>
      </c>
      <c r="T36" s="5">
        <v>50.3</v>
      </c>
      <c r="U36" s="5">
        <v>50.1</v>
      </c>
      <c r="V36" s="5">
        <v>50.3</v>
      </c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</row>
    <row r="37" spans="1:33" ht="15" customHeight="1" x14ac:dyDescent="0.25">
      <c r="D37" s="11" t="s">
        <v>1</v>
      </c>
      <c r="E37" s="5">
        <v>35.799999999999997</v>
      </c>
      <c r="F37" s="5">
        <v>39.299999999999997</v>
      </c>
      <c r="G37" s="5">
        <v>38.700000000000003</v>
      </c>
      <c r="H37" s="5">
        <v>34.9</v>
      </c>
      <c r="I37" s="5">
        <v>43</v>
      </c>
      <c r="J37" s="5">
        <v>28.6</v>
      </c>
      <c r="K37" s="5">
        <v>32.4</v>
      </c>
      <c r="L37" s="5">
        <v>29.1</v>
      </c>
      <c r="M37" s="5">
        <v>31.7</v>
      </c>
      <c r="N37" s="5">
        <v>30.9</v>
      </c>
      <c r="O37" s="5">
        <v>34.4</v>
      </c>
      <c r="P37" s="5">
        <v>34.1</v>
      </c>
      <c r="Q37" s="5">
        <v>33.700000000000003</v>
      </c>
      <c r="R37" s="5">
        <v>37.9</v>
      </c>
      <c r="S37" s="5">
        <v>35.799999999999997</v>
      </c>
      <c r="T37" s="5">
        <v>35.9</v>
      </c>
      <c r="U37" s="5">
        <v>33.700000000000003</v>
      </c>
      <c r="V37" s="5">
        <v>42.2</v>
      </c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</row>
    <row r="38" spans="1:33" ht="15" customHeight="1" x14ac:dyDescent="0.25">
      <c r="D38" s="11" t="s">
        <v>2</v>
      </c>
      <c r="E38" s="5">
        <v>40.1</v>
      </c>
      <c r="F38" s="5">
        <v>46</v>
      </c>
      <c r="G38" s="5">
        <v>45.7</v>
      </c>
      <c r="H38" s="5">
        <v>45</v>
      </c>
      <c r="I38" s="5">
        <v>41.4</v>
      </c>
      <c r="J38" s="5">
        <v>45.5</v>
      </c>
      <c r="K38" s="5">
        <v>41</v>
      </c>
      <c r="L38" s="5">
        <v>39.799999999999997</v>
      </c>
      <c r="M38" s="5">
        <v>41.4</v>
      </c>
      <c r="N38" s="5">
        <v>38.200000000000003</v>
      </c>
      <c r="O38" s="5">
        <v>41.5</v>
      </c>
      <c r="P38" s="5">
        <v>43.5</v>
      </c>
      <c r="Q38" s="5">
        <v>44.8</v>
      </c>
      <c r="R38" s="5">
        <v>47.9</v>
      </c>
      <c r="S38" s="5">
        <v>54.4</v>
      </c>
      <c r="T38" s="5">
        <v>55.2</v>
      </c>
      <c r="U38" s="5">
        <v>61.7</v>
      </c>
      <c r="V38" s="5">
        <v>61.4</v>
      </c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</row>
    <row r="39" spans="1:33" ht="15" customHeight="1" x14ac:dyDescent="0.25">
      <c r="A39" s="2" t="s">
        <v>18</v>
      </c>
      <c r="B39" s="2" t="s">
        <v>11</v>
      </c>
      <c r="C39" s="2" t="s">
        <v>14</v>
      </c>
      <c r="D39" s="11" t="s">
        <v>0</v>
      </c>
      <c r="E39" s="5">
        <v>81.8</v>
      </c>
      <c r="F39" s="5">
        <v>72.3</v>
      </c>
      <c r="G39" s="5">
        <v>66.8</v>
      </c>
      <c r="H39" s="5">
        <v>67.7</v>
      </c>
      <c r="I39" s="5">
        <v>66.3</v>
      </c>
      <c r="J39" s="5">
        <v>70.099999999999994</v>
      </c>
      <c r="K39" s="5">
        <v>76.5</v>
      </c>
      <c r="L39" s="5">
        <v>68.900000000000006</v>
      </c>
      <c r="M39" s="5">
        <v>73.3</v>
      </c>
      <c r="N39" s="5">
        <v>67.3</v>
      </c>
      <c r="O39" s="5">
        <v>69.400000000000006</v>
      </c>
      <c r="P39" s="5">
        <v>65.900000000000006</v>
      </c>
      <c r="Q39" s="5">
        <v>65.5</v>
      </c>
      <c r="R39" s="5">
        <v>63.8</v>
      </c>
      <c r="S39" s="5">
        <v>57.4</v>
      </c>
      <c r="T39" s="5">
        <v>61.6</v>
      </c>
      <c r="U39" s="5">
        <v>53.4</v>
      </c>
      <c r="V39" s="5">
        <v>66</v>
      </c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</row>
    <row r="40" spans="1:33" ht="15" customHeight="1" x14ac:dyDescent="0.25">
      <c r="D40" s="11" t="s">
        <v>1</v>
      </c>
      <c r="E40" s="5">
        <v>70.900000000000006</v>
      </c>
      <c r="F40" s="5">
        <v>74.3</v>
      </c>
      <c r="G40" s="5">
        <v>72.7</v>
      </c>
      <c r="H40" s="5">
        <v>76.900000000000006</v>
      </c>
      <c r="I40" s="5">
        <v>68.2</v>
      </c>
      <c r="J40" s="5">
        <v>79.3</v>
      </c>
      <c r="K40" s="5">
        <v>80.2</v>
      </c>
      <c r="L40" s="5">
        <v>80.7</v>
      </c>
      <c r="M40" s="5">
        <v>79.8</v>
      </c>
      <c r="N40" s="5">
        <v>80.3</v>
      </c>
      <c r="O40" s="5">
        <v>79.8</v>
      </c>
      <c r="P40" s="5">
        <v>71.3</v>
      </c>
      <c r="Q40" s="5">
        <v>80.900000000000006</v>
      </c>
      <c r="R40" s="5">
        <v>76.7</v>
      </c>
      <c r="S40" s="5">
        <v>81.900000000000006</v>
      </c>
      <c r="T40" s="5">
        <v>76</v>
      </c>
      <c r="U40" s="5">
        <v>81.5</v>
      </c>
      <c r="V40" s="5">
        <v>73.2</v>
      </c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</row>
    <row r="41" spans="1:33" ht="15" customHeight="1" x14ac:dyDescent="0.25">
      <c r="D41" s="11" t="s">
        <v>2</v>
      </c>
      <c r="E41" s="5">
        <v>70.7</v>
      </c>
      <c r="F41" s="5">
        <v>65.2</v>
      </c>
      <c r="G41" s="5">
        <v>62.7</v>
      </c>
      <c r="H41" s="5">
        <v>64.3</v>
      </c>
      <c r="I41" s="5">
        <v>70.3</v>
      </c>
      <c r="J41" s="5">
        <v>68.2</v>
      </c>
      <c r="K41" s="5">
        <v>65.7</v>
      </c>
      <c r="L41" s="5">
        <v>77</v>
      </c>
      <c r="M41" s="5">
        <v>68.7</v>
      </c>
      <c r="N41" s="5">
        <v>67.900000000000006</v>
      </c>
      <c r="O41" s="5">
        <v>68.7</v>
      </c>
      <c r="P41" s="5">
        <v>69.8</v>
      </c>
      <c r="Q41" s="5">
        <v>68.099999999999994</v>
      </c>
      <c r="R41" s="5">
        <v>64.2</v>
      </c>
      <c r="S41" s="5">
        <v>64</v>
      </c>
      <c r="T41" s="5">
        <v>62</v>
      </c>
      <c r="U41" s="5">
        <v>51.5</v>
      </c>
      <c r="V41" s="5">
        <v>51</v>
      </c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</row>
    <row r="42" spans="1:33" ht="15" customHeight="1" x14ac:dyDescent="0.25">
      <c r="A42" s="2" t="s">
        <v>18</v>
      </c>
      <c r="B42" s="2" t="s">
        <v>11</v>
      </c>
      <c r="C42" s="2" t="s">
        <v>12</v>
      </c>
      <c r="D42" s="11" t="s">
        <v>0</v>
      </c>
      <c r="E42" s="5">
        <v>18.2</v>
      </c>
      <c r="F42" s="5">
        <v>27.7</v>
      </c>
      <c r="G42" s="5">
        <v>33.200000000000003</v>
      </c>
      <c r="H42" s="5">
        <v>32.299999999999997</v>
      </c>
      <c r="I42" s="5">
        <v>33.700000000000003</v>
      </c>
      <c r="J42" s="5">
        <v>29.9</v>
      </c>
      <c r="K42" s="5">
        <v>23.5</v>
      </c>
      <c r="L42" s="5">
        <v>31.1</v>
      </c>
      <c r="M42" s="5">
        <v>26.7</v>
      </c>
      <c r="N42" s="5">
        <v>32.700000000000003</v>
      </c>
      <c r="O42" s="5">
        <v>30.6</v>
      </c>
      <c r="P42" s="5">
        <v>34.1</v>
      </c>
      <c r="Q42" s="5">
        <v>34.5</v>
      </c>
      <c r="R42" s="5">
        <v>36.200000000000003</v>
      </c>
      <c r="S42" s="5">
        <v>42.6</v>
      </c>
      <c r="T42" s="5">
        <v>38.4</v>
      </c>
      <c r="U42" s="5">
        <v>46.6</v>
      </c>
      <c r="V42" s="5">
        <v>34</v>
      </c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</row>
    <row r="43" spans="1:33" ht="15" customHeight="1" x14ac:dyDescent="0.25">
      <c r="D43" s="11" t="s">
        <v>1</v>
      </c>
      <c r="E43" s="5">
        <v>29.1</v>
      </c>
      <c r="F43" s="5">
        <v>25.7</v>
      </c>
      <c r="G43" s="5">
        <v>27.3</v>
      </c>
      <c r="H43" s="5">
        <v>23.1</v>
      </c>
      <c r="I43" s="5">
        <v>31.8</v>
      </c>
      <c r="J43" s="5">
        <v>20.7</v>
      </c>
      <c r="K43" s="5">
        <v>19.8</v>
      </c>
      <c r="L43" s="5">
        <v>19.3</v>
      </c>
      <c r="M43" s="5">
        <v>20.2</v>
      </c>
      <c r="N43" s="5">
        <v>19.7</v>
      </c>
      <c r="O43" s="5">
        <v>20.2</v>
      </c>
      <c r="P43" s="5">
        <v>28.7</v>
      </c>
      <c r="Q43" s="5">
        <v>19.100000000000001</v>
      </c>
      <c r="R43" s="5">
        <v>23.3</v>
      </c>
      <c r="S43" s="5">
        <v>18.100000000000001</v>
      </c>
      <c r="T43" s="5">
        <v>24</v>
      </c>
      <c r="U43" s="5">
        <v>18.5</v>
      </c>
      <c r="V43" s="5">
        <v>26.8</v>
      </c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</row>
    <row r="44" spans="1:33" ht="15" customHeight="1" x14ac:dyDescent="0.25">
      <c r="D44" s="11" t="s">
        <v>2</v>
      </c>
      <c r="E44" s="5">
        <v>29.3</v>
      </c>
      <c r="F44" s="5">
        <v>34.799999999999997</v>
      </c>
      <c r="G44" s="5">
        <v>37.299999999999997</v>
      </c>
      <c r="H44" s="5">
        <v>35.700000000000003</v>
      </c>
      <c r="I44" s="5">
        <v>29.7</v>
      </c>
      <c r="J44" s="5">
        <v>31.8</v>
      </c>
      <c r="K44" s="5">
        <v>34.299999999999997</v>
      </c>
      <c r="L44" s="5">
        <v>23</v>
      </c>
      <c r="M44" s="5">
        <v>31.3</v>
      </c>
      <c r="N44" s="5">
        <v>32.1</v>
      </c>
      <c r="O44" s="5">
        <v>31.3</v>
      </c>
      <c r="P44" s="5">
        <v>30.2</v>
      </c>
      <c r="Q44" s="5">
        <v>31.9</v>
      </c>
      <c r="R44" s="5">
        <v>35.799999999999997</v>
      </c>
      <c r="S44" s="5">
        <v>36</v>
      </c>
      <c r="T44" s="5">
        <v>38</v>
      </c>
      <c r="U44" s="5">
        <v>48.5</v>
      </c>
      <c r="V44" s="5">
        <v>49</v>
      </c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</row>
    <row r="45" spans="1:33" ht="15" customHeight="1" x14ac:dyDescent="0.25">
      <c r="A45" s="2" t="s">
        <v>18</v>
      </c>
      <c r="B45" s="2" t="s">
        <v>13</v>
      </c>
      <c r="C45" s="2" t="s">
        <v>14</v>
      </c>
      <c r="D45" s="11" t="s">
        <v>0</v>
      </c>
      <c r="E45" s="5">
        <v>86.2</v>
      </c>
      <c r="F45" s="5">
        <v>80</v>
      </c>
      <c r="G45" s="5">
        <v>78.2</v>
      </c>
      <c r="H45" s="5">
        <v>78.900000000000006</v>
      </c>
      <c r="I45" s="5">
        <v>78.900000000000006</v>
      </c>
      <c r="J45" s="5">
        <v>78.7</v>
      </c>
      <c r="K45" s="5">
        <v>79.2</v>
      </c>
      <c r="L45" s="5">
        <v>82.6</v>
      </c>
      <c r="M45" s="5">
        <v>73.7</v>
      </c>
      <c r="N45" s="5">
        <v>77.8</v>
      </c>
      <c r="O45" s="5">
        <v>75.900000000000006</v>
      </c>
      <c r="P45" s="5">
        <v>70.599999999999994</v>
      </c>
      <c r="Q45" s="5">
        <v>70</v>
      </c>
      <c r="R45" s="5">
        <v>68.099999999999994</v>
      </c>
      <c r="S45" s="5">
        <v>66.5</v>
      </c>
      <c r="T45" s="5">
        <v>66.5</v>
      </c>
      <c r="U45" s="5">
        <v>67.3</v>
      </c>
      <c r="V45" s="5">
        <v>64.900000000000006</v>
      </c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</row>
    <row r="46" spans="1:33" ht="15" customHeight="1" x14ac:dyDescent="0.25">
      <c r="D46" s="11" t="s">
        <v>1</v>
      </c>
      <c r="E46" s="5">
        <v>81.599999999999994</v>
      </c>
      <c r="F46" s="5">
        <v>76.099999999999994</v>
      </c>
      <c r="G46" s="5">
        <v>78</v>
      </c>
      <c r="H46" s="5">
        <v>80.099999999999994</v>
      </c>
      <c r="I46" s="5">
        <v>74.3</v>
      </c>
      <c r="J46" s="5">
        <v>82.2</v>
      </c>
      <c r="K46" s="5">
        <v>83.1</v>
      </c>
      <c r="L46" s="5">
        <v>84.7</v>
      </c>
      <c r="M46" s="5">
        <v>82.7</v>
      </c>
      <c r="N46" s="5">
        <v>85.6</v>
      </c>
      <c r="O46" s="5">
        <v>81.900000000000006</v>
      </c>
      <c r="P46" s="5">
        <v>82.5</v>
      </c>
      <c r="Q46" s="5">
        <v>85.2</v>
      </c>
      <c r="R46" s="5">
        <v>80.599999999999994</v>
      </c>
      <c r="S46" s="5">
        <v>86.2</v>
      </c>
      <c r="T46" s="5">
        <v>81.8</v>
      </c>
      <c r="U46" s="5">
        <v>85.7</v>
      </c>
      <c r="V46" s="5">
        <v>75.400000000000006</v>
      </c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</row>
    <row r="47" spans="1:33" ht="15" customHeight="1" x14ac:dyDescent="0.25">
      <c r="D47" s="11" t="s">
        <v>2</v>
      </c>
      <c r="E47" s="5">
        <v>74</v>
      </c>
      <c r="F47" s="5">
        <v>70.5</v>
      </c>
      <c r="G47" s="5">
        <v>70.3</v>
      </c>
      <c r="H47" s="5">
        <v>71.3</v>
      </c>
      <c r="I47" s="5">
        <v>73.400000000000006</v>
      </c>
      <c r="J47" s="5">
        <v>77.5</v>
      </c>
      <c r="K47" s="5">
        <v>77.900000000000006</v>
      </c>
      <c r="L47" s="5">
        <v>80.7</v>
      </c>
      <c r="M47" s="5">
        <v>79.900000000000006</v>
      </c>
      <c r="N47" s="5">
        <v>77.7</v>
      </c>
      <c r="O47" s="5">
        <v>72.400000000000006</v>
      </c>
      <c r="P47" s="5">
        <v>74.099999999999994</v>
      </c>
      <c r="Q47" s="5">
        <v>78.099999999999994</v>
      </c>
      <c r="R47" s="5">
        <v>72.2</v>
      </c>
      <c r="S47" s="5">
        <v>69.5</v>
      </c>
      <c r="T47" s="5">
        <v>74.8</v>
      </c>
      <c r="U47" s="5">
        <v>63.3</v>
      </c>
      <c r="V47" s="5">
        <v>60</v>
      </c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</row>
    <row r="48" spans="1:33" ht="15" customHeight="1" x14ac:dyDescent="0.25">
      <c r="A48" s="2" t="s">
        <v>18</v>
      </c>
      <c r="B48" s="2" t="s">
        <v>13</v>
      </c>
      <c r="C48" s="2" t="s">
        <v>12</v>
      </c>
      <c r="D48" s="11" t="s">
        <v>0</v>
      </c>
      <c r="E48" s="5">
        <v>13.8</v>
      </c>
      <c r="F48" s="5">
        <v>20</v>
      </c>
      <c r="G48" s="5">
        <v>21.8</v>
      </c>
      <c r="H48" s="5">
        <v>21.1</v>
      </c>
      <c r="I48" s="5">
        <v>21.1</v>
      </c>
      <c r="J48" s="5">
        <v>21.3</v>
      </c>
      <c r="K48" s="5">
        <v>20.8</v>
      </c>
      <c r="L48" s="5">
        <v>17.399999999999999</v>
      </c>
      <c r="M48" s="5">
        <v>26.3</v>
      </c>
      <c r="N48" s="5">
        <v>22.2</v>
      </c>
      <c r="O48" s="5">
        <v>24.1</v>
      </c>
      <c r="P48" s="5">
        <v>29.4</v>
      </c>
      <c r="Q48" s="5">
        <v>30</v>
      </c>
      <c r="R48" s="5">
        <v>31.9</v>
      </c>
      <c r="S48" s="5">
        <v>33.5</v>
      </c>
      <c r="T48" s="5">
        <v>33.5</v>
      </c>
      <c r="U48" s="5">
        <v>32.700000000000003</v>
      </c>
      <c r="V48" s="5">
        <v>35.1</v>
      </c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</row>
    <row r="49" spans="1:33" ht="15" customHeight="1" x14ac:dyDescent="0.25">
      <c r="D49" s="11" t="s">
        <v>1</v>
      </c>
      <c r="E49" s="5">
        <v>18.399999999999999</v>
      </c>
      <c r="F49" s="5">
        <v>23.9</v>
      </c>
      <c r="G49" s="5">
        <v>22</v>
      </c>
      <c r="H49" s="5">
        <v>19.899999999999999</v>
      </c>
      <c r="I49" s="5">
        <v>25.7</v>
      </c>
      <c r="J49" s="5">
        <v>17.8</v>
      </c>
      <c r="K49" s="5">
        <v>16.899999999999999</v>
      </c>
      <c r="L49" s="5">
        <v>15.3</v>
      </c>
      <c r="M49" s="5">
        <v>17.3</v>
      </c>
      <c r="N49" s="5">
        <v>14.4</v>
      </c>
      <c r="O49" s="5">
        <v>18.100000000000001</v>
      </c>
      <c r="P49" s="5">
        <v>17.5</v>
      </c>
      <c r="Q49" s="5">
        <v>14.8</v>
      </c>
      <c r="R49" s="5">
        <v>19.399999999999999</v>
      </c>
      <c r="S49" s="5">
        <v>13.8</v>
      </c>
      <c r="T49" s="5">
        <v>18.2</v>
      </c>
      <c r="U49" s="5">
        <v>14.3</v>
      </c>
      <c r="V49" s="5">
        <v>24.6</v>
      </c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</row>
    <row r="50" spans="1:33" ht="15" customHeight="1" x14ac:dyDescent="0.25">
      <c r="D50" s="11" t="s">
        <v>2</v>
      </c>
      <c r="E50" s="5">
        <v>26</v>
      </c>
      <c r="F50" s="5">
        <v>29.5</v>
      </c>
      <c r="G50" s="5">
        <v>29.7</v>
      </c>
      <c r="H50" s="5">
        <v>28.7</v>
      </c>
      <c r="I50" s="5">
        <v>26.6</v>
      </c>
      <c r="J50" s="5">
        <v>22.5</v>
      </c>
      <c r="K50" s="5">
        <v>22.1</v>
      </c>
      <c r="L50" s="5">
        <v>19.3</v>
      </c>
      <c r="M50" s="5">
        <v>20.100000000000001</v>
      </c>
      <c r="N50" s="5">
        <v>22.3</v>
      </c>
      <c r="O50" s="5">
        <v>27.6</v>
      </c>
      <c r="P50" s="5">
        <v>25.9</v>
      </c>
      <c r="Q50" s="5">
        <v>21.9</v>
      </c>
      <c r="R50" s="5">
        <v>27.8</v>
      </c>
      <c r="S50" s="5">
        <v>30.5</v>
      </c>
      <c r="T50" s="5">
        <v>25.2</v>
      </c>
      <c r="U50" s="5">
        <v>36.700000000000003</v>
      </c>
      <c r="V50" s="5">
        <v>40</v>
      </c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</row>
    <row r="51" spans="1:33" ht="15" customHeight="1" x14ac:dyDescent="0.25">
      <c r="A51" s="2" t="s">
        <v>19</v>
      </c>
      <c r="B51" s="2" t="s">
        <v>11</v>
      </c>
      <c r="C51" s="2" t="s">
        <v>14</v>
      </c>
      <c r="D51" s="11" t="s">
        <v>0</v>
      </c>
      <c r="E51" s="5">
        <v>81.900000000000006</v>
      </c>
      <c r="F51" s="5">
        <v>79.599999999999994</v>
      </c>
      <c r="G51" s="5">
        <v>77</v>
      </c>
      <c r="H51" s="5">
        <v>80.8</v>
      </c>
      <c r="I51" s="5">
        <v>77.900000000000006</v>
      </c>
      <c r="J51" s="5">
        <v>85.7</v>
      </c>
      <c r="K51" s="5">
        <v>92.4</v>
      </c>
      <c r="L51" s="5">
        <v>76</v>
      </c>
      <c r="M51" s="5">
        <v>82.2</v>
      </c>
      <c r="N51" s="5">
        <v>79.2</v>
      </c>
      <c r="O51" s="5">
        <v>86.7</v>
      </c>
      <c r="P51" s="5">
        <v>68.7</v>
      </c>
      <c r="Q51" s="5">
        <v>69.7</v>
      </c>
      <c r="R51" s="5">
        <v>68.3</v>
      </c>
      <c r="S51" s="5">
        <v>64.099999999999994</v>
      </c>
      <c r="T51" s="5">
        <v>67.900000000000006</v>
      </c>
      <c r="U51" s="5">
        <v>73.3</v>
      </c>
      <c r="V51" s="5">
        <v>75</v>
      </c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</row>
    <row r="52" spans="1:33" ht="15" customHeight="1" x14ac:dyDescent="0.25">
      <c r="D52" s="11" t="s">
        <v>1</v>
      </c>
      <c r="E52" s="5">
        <v>86.7</v>
      </c>
      <c r="F52" s="5">
        <v>72.3</v>
      </c>
      <c r="G52" s="5">
        <v>83.6</v>
      </c>
      <c r="H52" s="5">
        <v>71.400000000000006</v>
      </c>
      <c r="I52" s="5">
        <v>72.900000000000006</v>
      </c>
      <c r="J52" s="5">
        <v>86.3</v>
      </c>
      <c r="K52" s="5">
        <v>90</v>
      </c>
      <c r="L52" s="5">
        <v>88.1</v>
      </c>
      <c r="M52" s="5">
        <v>94.5</v>
      </c>
      <c r="N52" s="5">
        <v>91.4</v>
      </c>
      <c r="O52" s="5">
        <v>88.7</v>
      </c>
      <c r="P52" s="5">
        <v>84.3</v>
      </c>
      <c r="Q52" s="5">
        <v>83.5</v>
      </c>
      <c r="R52" s="5">
        <v>83.9</v>
      </c>
      <c r="S52" s="5">
        <v>98</v>
      </c>
      <c r="T52" s="5">
        <v>90.8</v>
      </c>
      <c r="U52" s="5">
        <v>93</v>
      </c>
      <c r="V52" s="5">
        <v>84</v>
      </c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</row>
    <row r="53" spans="1:33" ht="15" customHeight="1" x14ac:dyDescent="0.25">
      <c r="D53" s="11" t="s">
        <v>2</v>
      </c>
      <c r="E53" s="5">
        <v>88</v>
      </c>
      <c r="F53" s="5">
        <v>77.5</v>
      </c>
      <c r="G53" s="5">
        <v>85.4</v>
      </c>
      <c r="H53" s="5">
        <v>79.099999999999994</v>
      </c>
      <c r="I53" s="5">
        <v>88.3</v>
      </c>
      <c r="J53" s="5">
        <v>86.4</v>
      </c>
      <c r="K53" s="5">
        <v>82.4</v>
      </c>
      <c r="L53" s="5">
        <v>83.5</v>
      </c>
      <c r="M53" s="5">
        <v>95.1</v>
      </c>
      <c r="N53" s="5">
        <v>86.8</v>
      </c>
      <c r="O53" s="5">
        <v>79</v>
      </c>
      <c r="P53" s="5">
        <v>84.1</v>
      </c>
      <c r="Q53" s="5">
        <v>83.4</v>
      </c>
      <c r="R53" s="5">
        <v>79.3</v>
      </c>
      <c r="S53" s="5">
        <v>75.8</v>
      </c>
      <c r="T53" s="5">
        <v>76.599999999999994</v>
      </c>
      <c r="U53" s="5">
        <v>62.4</v>
      </c>
      <c r="V53" s="5">
        <v>69</v>
      </c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</row>
    <row r="54" spans="1:33" ht="15" customHeight="1" x14ac:dyDescent="0.25">
      <c r="A54" s="2" t="s">
        <v>19</v>
      </c>
      <c r="B54" s="2" t="s">
        <v>11</v>
      </c>
      <c r="C54" s="2" t="s">
        <v>12</v>
      </c>
      <c r="D54" s="11" t="s">
        <v>0</v>
      </c>
      <c r="E54" s="5">
        <v>18.100000000000001</v>
      </c>
      <c r="F54" s="5">
        <v>20.399999999999999</v>
      </c>
      <c r="G54" s="5">
        <v>23</v>
      </c>
      <c r="H54" s="5">
        <v>19.2</v>
      </c>
      <c r="I54" s="5">
        <v>22.1</v>
      </c>
      <c r="J54" s="5">
        <v>14.3</v>
      </c>
      <c r="K54" s="5">
        <v>7.6</v>
      </c>
      <c r="L54" s="5">
        <v>24</v>
      </c>
      <c r="M54" s="5">
        <v>17.8</v>
      </c>
      <c r="N54" s="5">
        <v>20.8</v>
      </c>
      <c r="O54" s="5">
        <v>13.3</v>
      </c>
      <c r="P54" s="5">
        <v>31.3</v>
      </c>
      <c r="Q54" s="5">
        <v>30.3</v>
      </c>
      <c r="R54" s="5">
        <v>31.7</v>
      </c>
      <c r="S54" s="5">
        <v>35.9</v>
      </c>
      <c r="T54" s="5">
        <v>32.1</v>
      </c>
      <c r="U54" s="5">
        <v>26.7</v>
      </c>
      <c r="V54" s="5">
        <v>25</v>
      </c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</row>
    <row r="55" spans="1:33" ht="15" customHeight="1" x14ac:dyDescent="0.25">
      <c r="D55" s="11" t="s">
        <v>1</v>
      </c>
      <c r="E55" s="5">
        <v>13.3</v>
      </c>
      <c r="F55" s="5">
        <v>27.7</v>
      </c>
      <c r="G55" s="5">
        <v>16.399999999999999</v>
      </c>
      <c r="H55" s="5">
        <v>28.6</v>
      </c>
      <c r="I55" s="5">
        <v>27.1</v>
      </c>
      <c r="J55" s="5">
        <v>13.7</v>
      </c>
      <c r="K55" s="5">
        <v>10</v>
      </c>
      <c r="L55" s="5">
        <v>11.9</v>
      </c>
      <c r="M55" s="5">
        <v>5.5</v>
      </c>
      <c r="N55" s="5">
        <v>8.6</v>
      </c>
      <c r="O55" s="5">
        <v>11.3</v>
      </c>
      <c r="P55" s="5">
        <v>15.7</v>
      </c>
      <c r="Q55" s="5">
        <v>16.5</v>
      </c>
      <c r="R55" s="5">
        <v>16.100000000000001</v>
      </c>
      <c r="S55" s="5">
        <v>2</v>
      </c>
      <c r="T55" s="5">
        <v>9.1999999999999993</v>
      </c>
      <c r="U55" s="5">
        <v>7</v>
      </c>
      <c r="V55" s="5">
        <v>16</v>
      </c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</row>
    <row r="56" spans="1:33" ht="15" customHeight="1" x14ac:dyDescent="0.25">
      <c r="D56" s="11" t="s">
        <v>2</v>
      </c>
      <c r="E56" s="5">
        <v>12</v>
      </c>
      <c r="F56" s="5">
        <v>22.5</v>
      </c>
      <c r="G56" s="5">
        <v>14.6</v>
      </c>
      <c r="H56" s="5">
        <v>20.9</v>
      </c>
      <c r="I56" s="5">
        <v>11.7</v>
      </c>
      <c r="J56" s="5">
        <v>13.6</v>
      </c>
      <c r="K56" s="5">
        <v>17.600000000000001</v>
      </c>
      <c r="L56" s="5">
        <v>16.5</v>
      </c>
      <c r="M56" s="5">
        <v>4.9000000000000004</v>
      </c>
      <c r="N56" s="5">
        <v>13.2</v>
      </c>
      <c r="O56" s="5">
        <v>21</v>
      </c>
      <c r="P56" s="5">
        <v>15.9</v>
      </c>
      <c r="Q56" s="5">
        <v>16.600000000000001</v>
      </c>
      <c r="R56" s="5">
        <v>20.7</v>
      </c>
      <c r="S56" s="5">
        <v>24.2</v>
      </c>
      <c r="T56" s="5">
        <v>23.4</v>
      </c>
      <c r="U56" s="5">
        <v>37.6</v>
      </c>
      <c r="V56" s="5">
        <v>31</v>
      </c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</row>
    <row r="57" spans="1:33" ht="15" customHeight="1" x14ac:dyDescent="0.25">
      <c r="A57" s="2" t="s">
        <v>19</v>
      </c>
      <c r="B57" s="2" t="s">
        <v>13</v>
      </c>
      <c r="C57" s="2" t="s">
        <v>14</v>
      </c>
      <c r="D57" s="11" t="s">
        <v>0</v>
      </c>
      <c r="E57" s="5">
        <v>93.9</v>
      </c>
      <c r="F57" s="5">
        <v>87.9</v>
      </c>
      <c r="G57" s="5">
        <v>90.2</v>
      </c>
      <c r="H57" s="5">
        <v>86</v>
      </c>
      <c r="I57" s="5">
        <v>90</v>
      </c>
      <c r="J57" s="5">
        <v>90.6</v>
      </c>
      <c r="K57" s="5">
        <v>81.7</v>
      </c>
      <c r="L57" s="5">
        <v>86.4</v>
      </c>
      <c r="M57" s="5">
        <v>82.7</v>
      </c>
      <c r="N57" s="5">
        <v>89.6</v>
      </c>
      <c r="O57" s="5">
        <v>87.4</v>
      </c>
      <c r="P57" s="5">
        <v>81.599999999999994</v>
      </c>
      <c r="Q57" s="5">
        <v>81.3</v>
      </c>
      <c r="R57" s="5">
        <v>77.8</v>
      </c>
      <c r="S57" s="5">
        <v>81.3</v>
      </c>
      <c r="T57" s="5">
        <v>85</v>
      </c>
      <c r="U57" s="5">
        <v>84.2</v>
      </c>
      <c r="V57" s="5">
        <v>80.5</v>
      </c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</row>
    <row r="58" spans="1:33" ht="15" customHeight="1" x14ac:dyDescent="0.25">
      <c r="D58" s="11" t="s">
        <v>1</v>
      </c>
      <c r="E58" s="5">
        <v>83.1</v>
      </c>
      <c r="F58" s="5">
        <v>81.8</v>
      </c>
      <c r="G58" s="5">
        <v>82.8</v>
      </c>
      <c r="H58" s="5">
        <v>86.3</v>
      </c>
      <c r="I58" s="5">
        <v>81</v>
      </c>
      <c r="J58" s="5">
        <v>92.4</v>
      </c>
      <c r="K58" s="5">
        <v>92</v>
      </c>
      <c r="L58" s="5">
        <v>94.5</v>
      </c>
      <c r="M58" s="5">
        <v>89.8</v>
      </c>
      <c r="N58" s="5">
        <v>89.8</v>
      </c>
      <c r="O58" s="5">
        <v>89.8</v>
      </c>
      <c r="P58" s="5">
        <v>92.2</v>
      </c>
      <c r="Q58" s="5">
        <v>92</v>
      </c>
      <c r="R58" s="5">
        <v>90.8</v>
      </c>
      <c r="S58" s="5">
        <v>96.5</v>
      </c>
      <c r="T58" s="5">
        <v>92.3</v>
      </c>
      <c r="U58" s="5">
        <v>91.2</v>
      </c>
      <c r="V58" s="5">
        <v>88.9</v>
      </c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</row>
    <row r="59" spans="1:33" ht="15" customHeight="1" x14ac:dyDescent="0.25">
      <c r="D59" s="11" t="s">
        <v>2</v>
      </c>
      <c r="E59" s="5">
        <v>62.8</v>
      </c>
      <c r="F59" s="5">
        <v>82.3</v>
      </c>
      <c r="G59" s="5">
        <v>90.2</v>
      </c>
      <c r="H59" s="5">
        <v>87.4</v>
      </c>
      <c r="I59" s="5">
        <v>93.3</v>
      </c>
      <c r="J59" s="5">
        <v>92.4</v>
      </c>
      <c r="K59" s="5">
        <v>86.8</v>
      </c>
      <c r="L59" s="5">
        <v>91.2</v>
      </c>
      <c r="M59" s="5">
        <v>88.3</v>
      </c>
      <c r="N59" s="5">
        <v>89.1</v>
      </c>
      <c r="O59" s="5">
        <v>87.1</v>
      </c>
      <c r="P59" s="5">
        <v>89</v>
      </c>
      <c r="Q59" s="5">
        <v>92.4</v>
      </c>
      <c r="R59" s="5">
        <v>87.9</v>
      </c>
      <c r="S59" s="5">
        <v>84.9</v>
      </c>
      <c r="T59" s="5">
        <v>87.6</v>
      </c>
      <c r="U59" s="5">
        <v>80.3</v>
      </c>
      <c r="V59" s="5">
        <v>79.900000000000006</v>
      </c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</row>
    <row r="60" spans="1:33" ht="15" customHeight="1" x14ac:dyDescent="0.25">
      <c r="A60" s="2" t="s">
        <v>19</v>
      </c>
      <c r="B60" s="2" t="s">
        <v>13</v>
      </c>
      <c r="C60" s="2" t="s">
        <v>12</v>
      </c>
      <c r="D60" s="11" t="s">
        <v>0</v>
      </c>
      <c r="E60" s="5">
        <v>6.1</v>
      </c>
      <c r="F60" s="5">
        <v>12.1</v>
      </c>
      <c r="G60" s="5">
        <v>9.8000000000000007</v>
      </c>
      <c r="H60" s="5">
        <v>14</v>
      </c>
      <c r="I60" s="5">
        <v>10</v>
      </c>
      <c r="J60" s="5">
        <v>9.4</v>
      </c>
      <c r="K60" s="5">
        <v>18.3</v>
      </c>
      <c r="L60" s="5">
        <v>13.6</v>
      </c>
      <c r="M60" s="5">
        <v>17.3</v>
      </c>
      <c r="N60" s="5">
        <v>10.4</v>
      </c>
      <c r="O60" s="5">
        <v>12.6</v>
      </c>
      <c r="P60" s="5">
        <v>18.399999999999999</v>
      </c>
      <c r="Q60" s="5">
        <v>18.7</v>
      </c>
      <c r="R60" s="5">
        <v>22.2</v>
      </c>
      <c r="S60" s="5">
        <v>18.7</v>
      </c>
      <c r="T60" s="5">
        <v>15</v>
      </c>
      <c r="U60" s="5">
        <v>15.8</v>
      </c>
      <c r="V60" s="5">
        <v>19.5</v>
      </c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</row>
    <row r="61" spans="1:33" ht="15" customHeight="1" x14ac:dyDescent="0.25">
      <c r="D61" s="11" t="s">
        <v>1</v>
      </c>
      <c r="E61" s="5">
        <v>16.899999999999999</v>
      </c>
      <c r="F61" s="5">
        <v>18.2</v>
      </c>
      <c r="G61" s="5">
        <v>17.2</v>
      </c>
      <c r="H61" s="5">
        <v>13.7</v>
      </c>
      <c r="I61" s="5">
        <v>19</v>
      </c>
      <c r="J61" s="5">
        <v>7.6</v>
      </c>
      <c r="K61" s="5">
        <v>8</v>
      </c>
      <c r="L61" s="5">
        <v>5.5</v>
      </c>
      <c r="M61" s="5">
        <v>10.199999999999999</v>
      </c>
      <c r="N61" s="5">
        <v>10.199999999999999</v>
      </c>
      <c r="O61" s="5">
        <v>10.199999999999999</v>
      </c>
      <c r="P61" s="5">
        <v>7.8</v>
      </c>
      <c r="Q61" s="5">
        <v>8</v>
      </c>
      <c r="R61" s="5">
        <v>9.1999999999999993</v>
      </c>
      <c r="S61" s="5">
        <v>3.5</v>
      </c>
      <c r="T61" s="5">
        <v>7.7</v>
      </c>
      <c r="U61" s="5">
        <v>8.8000000000000007</v>
      </c>
      <c r="V61" s="5">
        <v>11.1</v>
      </c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</row>
    <row r="62" spans="1:33" ht="15" customHeight="1" x14ac:dyDescent="0.25">
      <c r="D62" s="11" t="s">
        <v>23</v>
      </c>
      <c r="E62" s="5">
        <v>37.200000000000003</v>
      </c>
      <c r="F62" s="5">
        <v>17.7</v>
      </c>
      <c r="G62" s="5">
        <v>9.8000000000000007</v>
      </c>
      <c r="H62" s="5">
        <v>12.6</v>
      </c>
      <c r="I62" s="5">
        <v>6.7</v>
      </c>
      <c r="J62" s="5">
        <v>7.6</v>
      </c>
      <c r="K62" s="5">
        <v>13.2</v>
      </c>
      <c r="L62" s="5">
        <v>8.8000000000000007</v>
      </c>
      <c r="M62" s="5">
        <v>11.7</v>
      </c>
      <c r="N62" s="5">
        <v>10.9</v>
      </c>
      <c r="O62" s="5">
        <v>12.9</v>
      </c>
      <c r="P62" s="5">
        <v>11</v>
      </c>
      <c r="Q62" s="5">
        <v>7.6</v>
      </c>
      <c r="R62" s="5">
        <v>12.1</v>
      </c>
      <c r="S62" s="5">
        <v>15.1</v>
      </c>
      <c r="T62" s="5">
        <v>12.4</v>
      </c>
      <c r="U62" s="5">
        <v>19.7</v>
      </c>
      <c r="V62" s="5">
        <v>20.100000000000001</v>
      </c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</row>
    <row r="63" spans="1:33" ht="15" customHeight="1" x14ac:dyDescent="0.25"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</row>
    <row r="64" spans="1:33" ht="15" customHeight="1" x14ac:dyDescent="0.25">
      <c r="A64" s="16" t="s">
        <v>81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</row>
    <row r="65" spans="1:33" ht="15" customHeight="1" x14ac:dyDescent="0.25">
      <c r="A65" s="10" t="s">
        <v>15</v>
      </c>
      <c r="B65" s="2" t="s">
        <v>11</v>
      </c>
      <c r="C65" s="10" t="s">
        <v>14</v>
      </c>
      <c r="D65" s="11" t="s">
        <v>0</v>
      </c>
      <c r="E65" s="52">
        <f>Population!D59*E3/100</f>
        <v>25934.7</v>
      </c>
      <c r="F65" s="52">
        <f>Population!E59*F3/100</f>
        <v>25372.560000000001</v>
      </c>
      <c r="G65" s="52">
        <f>Population!F59*G3/100</f>
        <v>27768</v>
      </c>
      <c r="H65" s="52">
        <f>Population!G59*H3/100</f>
        <v>28294.140000000003</v>
      </c>
      <c r="I65" s="52">
        <f>Population!H59*I3/100</f>
        <v>26200.846000000001</v>
      </c>
      <c r="J65" s="52">
        <f>Population!I59*J3/100</f>
        <v>27499.52</v>
      </c>
      <c r="K65" s="52">
        <f>Population!J59*K3/100</f>
        <v>27879.194</v>
      </c>
      <c r="L65" s="52">
        <f>Population!K59*L3/100</f>
        <v>27085.332000000002</v>
      </c>
      <c r="M65" s="52">
        <f>Population!L59*M3/100</f>
        <v>22436.036</v>
      </c>
      <c r="N65" s="52">
        <f>Population!M59*N3/100</f>
        <v>25385.7</v>
      </c>
      <c r="O65" s="52">
        <f>Population!N59*O3/100</f>
        <v>28876.015999999996</v>
      </c>
      <c r="P65" s="52">
        <f>Population!O59*P3/100</f>
        <v>25906.256999999998</v>
      </c>
      <c r="Q65" s="52">
        <f>Population!P59*Q3/100</f>
        <v>24775.800999999999</v>
      </c>
      <c r="R65" s="52">
        <f>Population!Q59*R3/100</f>
        <v>23118.68</v>
      </c>
      <c r="S65" s="52">
        <f>Population!R59*S3/100</f>
        <v>22332.257999999998</v>
      </c>
      <c r="T65" s="52">
        <f>Population!S59*T3/100</f>
        <v>26177.398000000001</v>
      </c>
      <c r="U65" s="52">
        <f>Population!T59*U3/100</f>
        <v>26471.324000000001</v>
      </c>
      <c r="V65" s="52">
        <f>Population!U59*V3/100</f>
        <v>27971.408000000003</v>
      </c>
      <c r="W65" s="52">
        <f>_xlfn.FORECAST.LINEAR(W$1,$E65:V65,$E$1:V$1)</f>
        <v>25263.867013071867</v>
      </c>
      <c r="X65" s="52">
        <f>_xlfn.FORECAST.LINEAR(X$1,$E65:W65,$E$1:W$1)</f>
        <v>25177.694125558977</v>
      </c>
      <c r="Y65" s="52">
        <f>_xlfn.FORECAST.LINEAR(Y$1,$E65:X65,$E$1:X$1)</f>
        <v>25091.521238046087</v>
      </c>
      <c r="Z65" s="52">
        <f>_xlfn.FORECAST.LINEAR(Z$1,$E65:Y65,$E$1:Y$1)</f>
        <v>25005.348350533168</v>
      </c>
      <c r="AA65" s="52">
        <f>_xlfn.FORECAST.LINEAR(AA$1,$E65:Z65,$E$1:Z$1)</f>
        <v>24919.175463020278</v>
      </c>
      <c r="AB65" s="52">
        <f>_xlfn.FORECAST.LINEAR(AB$1,$E65:AA65,$E$1:AA$1)</f>
        <v>24833.002575507358</v>
      </c>
      <c r="AC65" s="52">
        <f>_xlfn.FORECAST.LINEAR(AC$1,$E65:AB65,$E$1:AB$1)</f>
        <v>24746.829687994468</v>
      </c>
      <c r="AD65" s="52">
        <f>_xlfn.FORECAST.LINEAR(AD$1,$E65:AC65,$E$1:AC$1)</f>
        <v>24660.656800481578</v>
      </c>
      <c r="AE65" s="52">
        <f>_xlfn.FORECAST.LINEAR(AE$1,$E65:AD65,$E$1:AD$1)</f>
        <v>24574.483912968688</v>
      </c>
      <c r="AF65" s="52">
        <f>_xlfn.FORECAST.LINEAR(AF$1,$E65:AE65,$E$1:AE$1)</f>
        <v>24488.311025455769</v>
      </c>
      <c r="AG65" s="52">
        <f>_xlfn.FORECAST.LINEAR(AG$1,$E65:AF65,$E$1:AF$1)</f>
        <v>24402.138137942849</v>
      </c>
    </row>
    <row r="66" spans="1:33" ht="15" customHeight="1" x14ac:dyDescent="0.25">
      <c r="D66" s="11" t="s">
        <v>1</v>
      </c>
      <c r="E66" s="52">
        <f>Population!D60*E4/100</f>
        <v>46031.264999999999</v>
      </c>
      <c r="F66" s="52">
        <f>Population!E60*F4/100</f>
        <v>42764.522000000004</v>
      </c>
      <c r="G66" s="52">
        <f>Population!F60*G4/100</f>
        <v>40267.790999999997</v>
      </c>
      <c r="H66" s="52">
        <f>Population!G60*H4/100</f>
        <v>38791.550000000003</v>
      </c>
      <c r="I66" s="52">
        <f>Population!H60*I4/100</f>
        <v>35518.851999999999</v>
      </c>
      <c r="J66" s="52">
        <f>Population!I60*J4/100</f>
        <v>46417.031999999999</v>
      </c>
      <c r="K66" s="52">
        <f>Population!J60*K4/100</f>
        <v>50061.256000000008</v>
      </c>
      <c r="L66" s="52">
        <f>Population!K60*L4/100</f>
        <v>46817.40800000001</v>
      </c>
      <c r="M66" s="52">
        <f>Population!L60*M4/100</f>
        <v>45969.792000000001</v>
      </c>
      <c r="N66" s="52">
        <f>Population!M60*N4/100</f>
        <v>50376.311999999991</v>
      </c>
      <c r="O66" s="52">
        <f>Population!N60*O4/100</f>
        <v>46463.668000000005</v>
      </c>
      <c r="P66" s="52">
        <f>Population!O60*P4/100</f>
        <v>44623.887999999999</v>
      </c>
      <c r="Q66" s="52">
        <f>Population!P60*Q4/100</f>
        <v>42436.42</v>
      </c>
      <c r="R66" s="52">
        <f>Population!Q60*R4/100</f>
        <v>36321.004000000001</v>
      </c>
      <c r="S66" s="52">
        <f>Population!R60*S4/100</f>
        <v>39237.404000000002</v>
      </c>
      <c r="T66" s="52">
        <f>Population!S60*T4/100</f>
        <v>39005.031000000003</v>
      </c>
      <c r="U66" s="52">
        <f>Population!T60*U4/100</f>
        <v>44102.603999999992</v>
      </c>
      <c r="V66" s="52">
        <f>Population!U60*V4/100</f>
        <v>32054.134999999998</v>
      </c>
      <c r="W66" s="52">
        <f>_xlfn.FORECAST.LINEAR(W$1,$E66:V66,$E$1:V$1)</f>
        <v>39943.807555555599</v>
      </c>
      <c r="X66" s="52">
        <f>_xlfn.FORECAST.LINEAR(X$1,$E66:W66,$E$1:W$1)</f>
        <v>39661.518678362598</v>
      </c>
      <c r="Y66" s="52">
        <f>_xlfn.FORECAST.LINEAR(Y$1,$E66:X66,$E$1:X$1)</f>
        <v>39379.229801169713</v>
      </c>
      <c r="Z66" s="52">
        <f>_xlfn.FORECAST.LINEAR(Z$1,$E66:Y66,$E$1:Y$1)</f>
        <v>39096.940923976596</v>
      </c>
      <c r="AA66" s="52">
        <f>_xlfn.FORECAST.LINEAR(AA$1,$E66:Z66,$E$1:Z$1)</f>
        <v>38814.652046783711</v>
      </c>
      <c r="AB66" s="52">
        <f>_xlfn.FORECAST.LINEAR(AB$1,$E66:AA66,$E$1:AA$1)</f>
        <v>38532.36316959071</v>
      </c>
      <c r="AC66" s="52">
        <f>_xlfn.FORECAST.LINEAR(AC$1,$E66:AB66,$E$1:AB$1)</f>
        <v>38250.074292397709</v>
      </c>
      <c r="AD66" s="52">
        <f>_xlfn.FORECAST.LINEAR(AD$1,$E66:AC66,$E$1:AC$1)</f>
        <v>37967.785415204708</v>
      </c>
      <c r="AE66" s="52">
        <f>_xlfn.FORECAST.LINEAR(AE$1,$E66:AD66,$E$1:AD$1)</f>
        <v>37685.49653801159</v>
      </c>
      <c r="AF66" s="52">
        <f>_xlfn.FORECAST.LINEAR(AF$1,$E66:AE66,$E$1:AE$1)</f>
        <v>37403.207660818822</v>
      </c>
      <c r="AG66" s="52">
        <f>_xlfn.FORECAST.LINEAR(AG$1,$E66:AF66,$E$1:AF$1)</f>
        <v>37120.918783625704</v>
      </c>
    </row>
    <row r="67" spans="1:33" ht="15" customHeight="1" x14ac:dyDescent="0.25">
      <c r="D67" s="11" t="s">
        <v>2</v>
      </c>
      <c r="E67" s="52">
        <f>Population!D61*E5/100</f>
        <v>40673.736000000004</v>
      </c>
      <c r="F67" s="52">
        <f>Population!E61*F5/100</f>
        <v>31915.008000000002</v>
      </c>
      <c r="G67" s="52">
        <f>Population!F61*G5/100</f>
        <v>31496.31</v>
      </c>
      <c r="H67" s="52">
        <f>Population!G61*H5/100</f>
        <v>36131.699999999997</v>
      </c>
      <c r="I67" s="52">
        <f>Population!H61*I5/100</f>
        <v>41344.57</v>
      </c>
      <c r="J67" s="52">
        <f>Population!I61*J5/100</f>
        <v>39668.008000000002</v>
      </c>
      <c r="K67" s="52">
        <f>Population!J61*K5/100</f>
        <v>36367.254000000001</v>
      </c>
      <c r="L67" s="52">
        <f>Population!K61*L5/100</f>
        <v>44482.9</v>
      </c>
      <c r="M67" s="52">
        <f>Population!L61*M5/100</f>
        <v>44737.587999999996</v>
      </c>
      <c r="N67" s="52">
        <f>Population!M61*N5/100</f>
        <v>43483.32</v>
      </c>
      <c r="O67" s="52">
        <f>Population!N61*O5/100</f>
        <v>45467.262999999999</v>
      </c>
      <c r="P67" s="52">
        <f>Population!O61*P5/100</f>
        <v>42115.705000000002</v>
      </c>
      <c r="Q67" s="52">
        <f>Population!P61*Q5/100</f>
        <v>51383.903999999995</v>
      </c>
      <c r="R67" s="52">
        <f>Population!Q61*R5/100</f>
        <v>43442.805999999997</v>
      </c>
      <c r="S67" s="52">
        <f>Population!R61*S5/100</f>
        <v>39763.504000000001</v>
      </c>
      <c r="T67" s="52">
        <f>Population!S61*T5/100</f>
        <v>44283.51</v>
      </c>
      <c r="U67" s="52">
        <f>Population!T61*U5/100</f>
        <v>32700.276000000002</v>
      </c>
      <c r="V67" s="52">
        <f>Population!U61*V5/100</f>
        <v>32395.564000000002</v>
      </c>
      <c r="W67" s="52">
        <f>_xlfn.FORECAST.LINEAR(W$1,$E67:V67,$E$1:V$1)</f>
        <v>42147.744372549001</v>
      </c>
      <c r="X67" s="52">
        <f>_xlfn.FORECAST.LINEAR(X$1,$E67:W67,$E$1:W$1)</f>
        <v>42362.986902992765</v>
      </c>
      <c r="Y67" s="52">
        <f>_xlfn.FORECAST.LINEAR(Y$1,$E67:X67,$E$1:X$1)</f>
        <v>42578.229433436529</v>
      </c>
      <c r="Z67" s="52">
        <f>_xlfn.FORECAST.LINEAR(Z$1,$E67:Y67,$E$1:Y$1)</f>
        <v>42793.471963880293</v>
      </c>
      <c r="AA67" s="52">
        <f>_xlfn.FORECAST.LINEAR(AA$1,$E67:Z67,$E$1:Z$1)</f>
        <v>43008.714494324056</v>
      </c>
      <c r="AB67" s="52">
        <f>_xlfn.FORECAST.LINEAR(AB$1,$E67:AA67,$E$1:AA$1)</f>
        <v>43223.957024767762</v>
      </c>
      <c r="AC67" s="52">
        <f>_xlfn.FORECAST.LINEAR(AC$1,$E67:AB67,$E$1:AB$1)</f>
        <v>43439.199555211584</v>
      </c>
      <c r="AD67" s="52">
        <f>_xlfn.FORECAST.LINEAR(AD$1,$E67:AC67,$E$1:AC$1)</f>
        <v>43654.44208565529</v>
      </c>
      <c r="AE67" s="52">
        <f>_xlfn.FORECAST.LINEAR(AE$1,$E67:AD67,$E$1:AD$1)</f>
        <v>43869.684616099054</v>
      </c>
      <c r="AF67" s="52">
        <f>_xlfn.FORECAST.LINEAR(AF$1,$E67:AE67,$E$1:AE$1)</f>
        <v>44084.927146542817</v>
      </c>
      <c r="AG67" s="52">
        <f>_xlfn.FORECAST.LINEAR(AG$1,$E67:AF67,$E$1:AF$1)</f>
        <v>44300.169676986581</v>
      </c>
    </row>
    <row r="68" spans="1:33" ht="15" customHeight="1" x14ac:dyDescent="0.25">
      <c r="A68" s="10" t="s">
        <v>15</v>
      </c>
      <c r="B68" s="2" t="s">
        <v>13</v>
      </c>
      <c r="C68" s="2" t="s">
        <v>14</v>
      </c>
      <c r="D68" s="11" t="s">
        <v>0</v>
      </c>
      <c r="E68" s="52">
        <f>Population!D62*E9/100</f>
        <v>23004.6</v>
      </c>
      <c r="F68" s="52">
        <f>Population!E62*F9/100</f>
        <v>24606.560000000001</v>
      </c>
      <c r="G68" s="52">
        <f>Population!F62*G9/100</f>
        <v>27627.54</v>
      </c>
      <c r="H68" s="52">
        <f>Population!G62*H9/100</f>
        <v>29118.3</v>
      </c>
      <c r="I68" s="52">
        <f>Population!H62*I9/100</f>
        <v>27346.71</v>
      </c>
      <c r="J68" s="52">
        <f>Population!I62*J9/100</f>
        <v>26465.296000000002</v>
      </c>
      <c r="K68" s="52">
        <f>Population!J62*K9/100</f>
        <v>25877.796000000002</v>
      </c>
      <c r="L68" s="52">
        <f>Population!K62*L9/100</f>
        <v>25568.804</v>
      </c>
      <c r="M68" s="52">
        <f>Population!L62*M9/100</f>
        <v>23072.92</v>
      </c>
      <c r="N68" s="52">
        <f>Population!M62*N9/100</f>
        <v>22861.8</v>
      </c>
      <c r="O68" s="52">
        <f>Population!N62*O9/100</f>
        <v>28863.499</v>
      </c>
      <c r="P68" s="52">
        <f>Population!O62*P9/100</f>
        <v>23708.43</v>
      </c>
      <c r="Q68" s="52">
        <f>Population!P62*Q9/100</f>
        <v>22088</v>
      </c>
      <c r="R68" s="52">
        <f>Population!Q62*R9/100</f>
        <v>23802.39</v>
      </c>
      <c r="S68" s="52">
        <f>Population!R62*S9/100</f>
        <v>19742.46</v>
      </c>
      <c r="T68" s="52">
        <f>Population!S62*T9/100</f>
        <v>26770.254000000001</v>
      </c>
      <c r="U68" s="52">
        <f>Population!T62*U9/100</f>
        <v>24871.583999999999</v>
      </c>
      <c r="V68" s="52">
        <f>Population!U62*V9/100</f>
        <v>26613.158000000003</v>
      </c>
      <c r="W68" s="52">
        <f>_xlfn.FORECAST.LINEAR(W$1,$E68:V68,$E$1:V$1)</f>
        <v>24007.045522875822</v>
      </c>
      <c r="X68" s="52">
        <f>_xlfn.FORECAST.LINEAR(X$1,$E68:W68,$E$1:W$1)</f>
        <v>23890.769022359833</v>
      </c>
      <c r="Y68" s="52">
        <f>_xlfn.FORECAST.LINEAR(Y$1,$E68:X68,$E$1:X$1)</f>
        <v>23774.492521843844</v>
      </c>
      <c r="Z68" s="52">
        <f>_xlfn.FORECAST.LINEAR(Z$1,$E68:Y68,$E$1:Y$1)</f>
        <v>23658.216021327826</v>
      </c>
      <c r="AA68" s="52">
        <f>_xlfn.FORECAST.LINEAR(AA$1,$E68:Z68,$E$1:Z$1)</f>
        <v>23541.939520811837</v>
      </c>
      <c r="AB68" s="52">
        <f>_xlfn.FORECAST.LINEAR(AB$1,$E68:AA68,$E$1:AA$1)</f>
        <v>23425.663020295848</v>
      </c>
      <c r="AC68" s="52">
        <f>_xlfn.FORECAST.LINEAR(AC$1,$E68:AB68,$E$1:AB$1)</f>
        <v>23309.386519779888</v>
      </c>
      <c r="AD68" s="52">
        <f>_xlfn.FORECAST.LINEAR(AD$1,$E68:AC68,$E$1:AC$1)</f>
        <v>23193.11001926387</v>
      </c>
      <c r="AE68" s="52">
        <f>_xlfn.FORECAST.LINEAR(AE$1,$E68:AD68,$E$1:AD$1)</f>
        <v>23076.833518747881</v>
      </c>
      <c r="AF68" s="52">
        <f>_xlfn.FORECAST.LINEAR(AF$1,$E68:AE68,$E$1:AE$1)</f>
        <v>22960.557018231892</v>
      </c>
      <c r="AG68" s="52">
        <f>_xlfn.FORECAST.LINEAR(AG$1,$E68:AF68,$E$1:AF$1)</f>
        <v>22844.280517715873</v>
      </c>
    </row>
    <row r="69" spans="1:33" ht="15" customHeight="1" x14ac:dyDescent="0.25">
      <c r="D69" s="11" t="s">
        <v>1</v>
      </c>
      <c r="E69" s="52">
        <f>Population!D63*E10/100</f>
        <v>54047.735999999997</v>
      </c>
      <c r="F69" s="52">
        <f>Population!E63*F10/100</f>
        <v>47882.016000000003</v>
      </c>
      <c r="G69" s="52">
        <f>Population!F63*G10/100</f>
        <v>43284.912000000004</v>
      </c>
      <c r="H69" s="52">
        <f>Population!G63*H10/100</f>
        <v>46002.942999999999</v>
      </c>
      <c r="I69" s="52">
        <f>Population!H63*I10/100</f>
        <v>42680.061000000009</v>
      </c>
      <c r="J69" s="52">
        <f>Population!I63*J10/100</f>
        <v>54224.235000000001</v>
      </c>
      <c r="K69" s="52">
        <f>Population!J63*K10/100</f>
        <v>54272.183999999994</v>
      </c>
      <c r="L69" s="52">
        <f>Population!K63*L10/100</f>
        <v>51562.307000000001</v>
      </c>
      <c r="M69" s="52">
        <f>Population!L63*M10/100</f>
        <v>49747.62</v>
      </c>
      <c r="N69" s="52">
        <f>Population!M63*N10/100</f>
        <v>55076.19</v>
      </c>
      <c r="O69" s="52">
        <f>Population!N63*O10/100</f>
        <v>51102.440999999999</v>
      </c>
      <c r="P69" s="52">
        <f>Population!O63*P10/100</f>
        <v>51529.715999999993</v>
      </c>
      <c r="Q69" s="52">
        <f>Population!P63*Q10/100</f>
        <v>47587.223999999995</v>
      </c>
      <c r="R69" s="52">
        <f>Population!Q63*R10/100</f>
        <v>39308.294000000002</v>
      </c>
      <c r="S69" s="52">
        <f>Population!R63*S10/100</f>
        <v>40202.343000000001</v>
      </c>
      <c r="T69" s="52">
        <f>Population!S63*T10/100</f>
        <v>50030.25</v>
      </c>
      <c r="U69" s="52">
        <f>Population!T63*U10/100</f>
        <v>43728.384000000005</v>
      </c>
      <c r="V69" s="52">
        <f>Population!U63*V10/100</f>
        <v>38491.839999999997</v>
      </c>
      <c r="W69" s="52">
        <f>_xlfn.FORECAST.LINEAR(W$1,$E69:V69,$E$1:V$1)</f>
        <v>44001.996843137313</v>
      </c>
      <c r="X69" s="52">
        <f>_xlfn.FORECAST.LINEAR(X$1,$E69:W69,$E$1:W$1)</f>
        <v>43600.097703818465</v>
      </c>
      <c r="Y69" s="52">
        <f>_xlfn.FORECAST.LINEAR(Y$1,$E69:X69,$E$1:X$1)</f>
        <v>43198.1985644995</v>
      </c>
      <c r="Z69" s="52">
        <f>_xlfn.FORECAST.LINEAR(Z$1,$E69:Y69,$E$1:Y$1)</f>
        <v>42796.299425180652</v>
      </c>
      <c r="AA69" s="52">
        <f>_xlfn.FORECAST.LINEAR(AA$1,$E69:Z69,$E$1:Z$1)</f>
        <v>42394.400285861688</v>
      </c>
      <c r="AB69" s="52">
        <f>_xlfn.FORECAST.LINEAR(AB$1,$E69:AA69,$E$1:AA$1)</f>
        <v>41992.50114654284</v>
      </c>
      <c r="AC69" s="52">
        <f>_xlfn.FORECAST.LINEAR(AC$1,$E69:AB69,$E$1:AB$1)</f>
        <v>41590.602007223992</v>
      </c>
      <c r="AD69" s="52">
        <f>_xlfn.FORECAST.LINEAR(AD$1,$E69:AC69,$E$1:AC$1)</f>
        <v>41188.702867905144</v>
      </c>
      <c r="AE69" s="52">
        <f>_xlfn.FORECAST.LINEAR(AE$1,$E69:AD69,$E$1:AD$1)</f>
        <v>40786.803728586179</v>
      </c>
      <c r="AF69" s="52">
        <f>_xlfn.FORECAST.LINEAR(AF$1,$E69:AE69,$E$1:AE$1)</f>
        <v>40384.904589267331</v>
      </c>
      <c r="AG69" s="52">
        <f>_xlfn.FORECAST.LINEAR(AG$1,$E69:AF69,$E$1:AF$1)</f>
        <v>39983.005449948483</v>
      </c>
    </row>
    <row r="70" spans="1:33" ht="15" customHeight="1" x14ac:dyDescent="0.25">
      <c r="D70" s="11" t="s">
        <v>2</v>
      </c>
      <c r="E70" s="52">
        <f>Population!D64*E11/100</f>
        <v>50903.37</v>
      </c>
      <c r="F70" s="52">
        <f>Population!E64*F11/100</f>
        <v>48277.87</v>
      </c>
      <c r="G70" s="52">
        <f>Population!F64*G11/100</f>
        <v>39458.129999999997</v>
      </c>
      <c r="H70" s="52">
        <f>Population!G64*H11/100</f>
        <v>47136.383999999991</v>
      </c>
      <c r="I70" s="52">
        <f>Population!H64*I11/100</f>
        <v>42590.1</v>
      </c>
      <c r="J70" s="52">
        <f>Population!I64*J11/100</f>
        <v>41945.135999999999</v>
      </c>
      <c r="K70" s="52">
        <f>Population!J64*K11/100</f>
        <v>39104.834999999999</v>
      </c>
      <c r="L70" s="52">
        <f>Population!K64*L11/100</f>
        <v>48571.181999999993</v>
      </c>
      <c r="M70" s="52">
        <f>Population!L64*M11/100</f>
        <v>48917.014999999999</v>
      </c>
      <c r="N70" s="52">
        <f>Population!M64*N11/100</f>
        <v>46028.106</v>
      </c>
      <c r="O70" s="52">
        <f>Population!N64*O11/100</f>
        <v>49252.632000000005</v>
      </c>
      <c r="P70" s="52">
        <f>Population!O64*P11/100</f>
        <v>46046.98</v>
      </c>
      <c r="Q70" s="52">
        <f>Population!P64*Q11/100</f>
        <v>50883.294000000002</v>
      </c>
      <c r="R70" s="52">
        <f>Population!Q64*R11/100</f>
        <v>50308.75</v>
      </c>
      <c r="S70" s="52">
        <f>Population!R64*S11/100</f>
        <v>36587.9</v>
      </c>
      <c r="T70" s="52">
        <f>Population!S64*T11/100</f>
        <v>33116.201999999997</v>
      </c>
      <c r="U70" s="52">
        <f>Population!T64*U11/100</f>
        <v>25207.6875</v>
      </c>
      <c r="V70" s="52">
        <f>Population!U64*V11/100</f>
        <v>22685.088000000003</v>
      </c>
      <c r="W70" s="52">
        <f>_xlfn.FORECAST.LINEAR(W$1,$E70:V70,$E$1:V$1)</f>
        <v>34197.153114379151</v>
      </c>
      <c r="X70" s="52">
        <f>_xlfn.FORECAST.LINEAR(X$1,$E70:W70,$E$1:W$1)</f>
        <v>33311.352497763932</v>
      </c>
      <c r="Y70" s="52">
        <f>_xlfn.FORECAST.LINEAR(Y$1,$E70:X70,$E$1:X$1)</f>
        <v>32425.551881148946</v>
      </c>
      <c r="Z70" s="52">
        <f>_xlfn.FORECAST.LINEAR(Z$1,$E70:Y70,$E$1:Y$1)</f>
        <v>31539.751264533959</v>
      </c>
      <c r="AA70" s="52">
        <f>_xlfn.FORECAST.LINEAR(AA$1,$E70:Z70,$E$1:Z$1)</f>
        <v>30653.95064791874</v>
      </c>
      <c r="AB70" s="52">
        <f>_xlfn.FORECAST.LINEAR(AB$1,$E70:AA70,$E$1:AA$1)</f>
        <v>29768.150031303754</v>
      </c>
      <c r="AC70" s="52">
        <f>_xlfn.FORECAST.LINEAR(AC$1,$E70:AB70,$E$1:AB$1)</f>
        <v>28882.349414688768</v>
      </c>
      <c r="AD70" s="52">
        <f>_xlfn.FORECAST.LINEAR(AD$1,$E70:AC70,$E$1:AC$1)</f>
        <v>27996.548798073549</v>
      </c>
      <c r="AE70" s="52">
        <f>_xlfn.FORECAST.LINEAR(AE$1,$E70:AD70,$E$1:AD$1)</f>
        <v>27110.748181458563</v>
      </c>
      <c r="AF70" s="52">
        <f>_xlfn.FORECAST.LINEAR(AF$1,$E70:AE70,$E$1:AE$1)</f>
        <v>26224.947564843576</v>
      </c>
      <c r="AG70" s="52">
        <f>_xlfn.FORECAST.LINEAR(AG$1,$E70:AF70,$E$1:AF$1)</f>
        <v>25339.146948228357</v>
      </c>
    </row>
    <row r="71" spans="1:33" ht="15" customHeight="1" x14ac:dyDescent="0.25">
      <c r="A71" s="2" t="s">
        <v>16</v>
      </c>
      <c r="B71" s="2" t="s">
        <v>11</v>
      </c>
      <c r="C71" s="2" t="s">
        <v>14</v>
      </c>
      <c r="D71" s="11" t="s">
        <v>0</v>
      </c>
      <c r="E71" s="52">
        <f>Population!D65*E15/100</f>
        <v>30743.82</v>
      </c>
      <c r="F71" s="52">
        <f>Population!E65*F15/100</f>
        <v>25895.119999999999</v>
      </c>
      <c r="G71" s="52">
        <f>Population!F65*G15/100</f>
        <v>30555.8</v>
      </c>
      <c r="H71" s="52">
        <f>Population!G65*H15/100</f>
        <v>34237.019999999997</v>
      </c>
      <c r="I71" s="52">
        <f>Population!H65*I15/100</f>
        <v>36913.635000000002</v>
      </c>
      <c r="J71" s="52">
        <f>Population!I65*J15/100</f>
        <v>34932.703999999998</v>
      </c>
      <c r="K71" s="52">
        <f>Population!J65*K15/100</f>
        <v>36145.06</v>
      </c>
      <c r="L71" s="52">
        <f>Population!K65*L15/100</f>
        <v>36539.754000000001</v>
      </c>
      <c r="M71" s="52">
        <f>Population!L65*M15/100</f>
        <v>35522.468999999997</v>
      </c>
      <c r="N71" s="52">
        <f>Population!M65*N15/100</f>
        <v>36053.556000000004</v>
      </c>
      <c r="O71" s="52">
        <f>Population!N65*O15/100</f>
        <v>39633.402000000002</v>
      </c>
      <c r="P71" s="52">
        <f>Population!O65*P15/100</f>
        <v>35918.542000000001</v>
      </c>
      <c r="Q71" s="52">
        <f>Population!P65*Q15/100</f>
        <v>32155.98</v>
      </c>
      <c r="R71" s="52">
        <f>Population!Q65*R15/100</f>
        <v>32923.61</v>
      </c>
      <c r="S71" s="52">
        <f>Population!R65*S15/100</f>
        <v>33091.387999999999</v>
      </c>
      <c r="T71" s="52">
        <f>Population!S65*T15/100</f>
        <v>34270.964999999997</v>
      </c>
      <c r="U71" s="52">
        <f>Population!T65*U15/100</f>
        <v>34128.402000000002</v>
      </c>
      <c r="V71" s="52">
        <f>Population!U65*V15/100</f>
        <v>34979.993999999999</v>
      </c>
      <c r="W71" s="52">
        <f>_xlfn.FORECAST.LINEAR(W$1,$E71:V71,$E$1:V$1)</f>
        <v>35955.965176470636</v>
      </c>
      <c r="X71" s="52">
        <f>_xlfn.FORECAST.LINEAR(X$1,$E71:W71,$E$1:W$1)</f>
        <v>36146.410510835936</v>
      </c>
      <c r="Y71" s="52">
        <f>_xlfn.FORECAST.LINEAR(Y$1,$E71:X71,$E$1:X$1)</f>
        <v>36336.855845201237</v>
      </c>
      <c r="Z71" s="52">
        <f>_xlfn.FORECAST.LINEAR(Z$1,$E71:Y71,$E$1:Y$1)</f>
        <v>36527.301179566595</v>
      </c>
      <c r="AA71" s="52">
        <f>_xlfn.FORECAST.LINEAR(AA$1,$E71:Z71,$E$1:Z$1)</f>
        <v>36717.746513931954</v>
      </c>
      <c r="AB71" s="52">
        <f>_xlfn.FORECAST.LINEAR(AB$1,$E71:AA71,$E$1:AA$1)</f>
        <v>36908.191848297196</v>
      </c>
      <c r="AC71" s="52">
        <f>_xlfn.FORECAST.LINEAR(AC$1,$E71:AB71,$E$1:AB$1)</f>
        <v>37098.637182662555</v>
      </c>
      <c r="AD71" s="52">
        <f>_xlfn.FORECAST.LINEAR(AD$1,$E71:AC71,$E$1:AC$1)</f>
        <v>37289.082517027855</v>
      </c>
      <c r="AE71" s="52">
        <f>_xlfn.FORECAST.LINEAR(AE$1,$E71:AD71,$E$1:AD$1)</f>
        <v>37479.527851393213</v>
      </c>
      <c r="AF71" s="52">
        <f>_xlfn.FORECAST.LINEAR(AF$1,$E71:AE71,$E$1:AE$1)</f>
        <v>37669.973185758514</v>
      </c>
      <c r="AG71" s="52">
        <f>_xlfn.FORECAST.LINEAR(AG$1,$E71:AF71,$E$1:AF$1)</f>
        <v>37860.418520123872</v>
      </c>
    </row>
    <row r="72" spans="1:33" ht="15" customHeight="1" x14ac:dyDescent="0.25">
      <c r="D72" s="11" t="s">
        <v>1</v>
      </c>
      <c r="E72" s="52">
        <f>Population!D66*E16/100</f>
        <v>48236.98</v>
      </c>
      <c r="F72" s="52">
        <f>Population!E66*F16/100</f>
        <v>47291.856000000007</v>
      </c>
      <c r="G72" s="52">
        <f>Population!F66*G16/100</f>
        <v>44530.854000000007</v>
      </c>
      <c r="H72" s="52">
        <f>Population!G66*H16/100</f>
        <v>45461.264000000003</v>
      </c>
      <c r="I72" s="52">
        <f>Population!H66*I16/100</f>
        <v>38695.712</v>
      </c>
      <c r="J72" s="52">
        <f>Population!I66*J16/100</f>
        <v>48033.843000000001</v>
      </c>
      <c r="K72" s="52">
        <f>Population!J66*K16/100</f>
        <v>56348.324999999997</v>
      </c>
      <c r="L72" s="52">
        <f>Population!K66*L16/100</f>
        <v>53880.84</v>
      </c>
      <c r="M72" s="52">
        <f>Population!L66*M16/100</f>
        <v>56077.440000000002</v>
      </c>
      <c r="N72" s="52">
        <f>Population!M66*N16/100</f>
        <v>63524.415000000001</v>
      </c>
      <c r="O72" s="52">
        <f>Population!N66*O16/100</f>
        <v>59081.905999999995</v>
      </c>
      <c r="P72" s="52">
        <f>Population!O66*P16/100</f>
        <v>60404.567999999999</v>
      </c>
      <c r="Q72" s="52">
        <f>Population!P66*Q16/100</f>
        <v>61278.008000000002</v>
      </c>
      <c r="R72" s="52">
        <f>Population!Q66*R16/100</f>
        <v>54150.052000000003</v>
      </c>
      <c r="S72" s="52">
        <f>Population!R66*S16/100</f>
        <v>53210.751999999993</v>
      </c>
      <c r="T72" s="52">
        <f>Population!S66*T16/100</f>
        <v>58099.539000000004</v>
      </c>
      <c r="U72" s="52">
        <f>Population!T66*U16/100</f>
        <v>60914.268000000011</v>
      </c>
      <c r="V72" s="52">
        <f>Population!U66*V16/100</f>
        <v>51062.05</v>
      </c>
      <c r="W72" s="52">
        <f>_xlfn.FORECAST.LINEAR(W$1,$E72:V72,$E$1:V$1)</f>
        <v>61085.598568627378</v>
      </c>
      <c r="X72" s="52">
        <f>_xlfn.FORECAST.LINEAR(X$1,$E72:W72,$E$1:W$1)</f>
        <v>61899.973435500637</v>
      </c>
      <c r="Y72" s="52">
        <f>_xlfn.FORECAST.LINEAR(Y$1,$E72:X72,$E$1:X$1)</f>
        <v>62714.348302373663</v>
      </c>
      <c r="Z72" s="52">
        <f>_xlfn.FORECAST.LINEAR(Z$1,$E72:Y72,$E$1:Y$1)</f>
        <v>63528.723169246688</v>
      </c>
      <c r="AA72" s="52">
        <f>_xlfn.FORECAST.LINEAR(AA$1,$E72:Z72,$E$1:Z$1)</f>
        <v>64343.098036119714</v>
      </c>
      <c r="AB72" s="52">
        <f>_xlfn.FORECAST.LINEAR(AB$1,$E72:AA72,$E$1:AA$1)</f>
        <v>65157.47290299274</v>
      </c>
      <c r="AC72" s="52">
        <f>_xlfn.FORECAST.LINEAR(AC$1,$E72:AB72,$E$1:AB$1)</f>
        <v>65971.847769865766</v>
      </c>
      <c r="AD72" s="52">
        <f>_xlfn.FORECAST.LINEAR(AD$1,$E72:AC72,$E$1:AC$1)</f>
        <v>66786.222636738792</v>
      </c>
      <c r="AE72" s="52">
        <f>_xlfn.FORECAST.LINEAR(AE$1,$E72:AD72,$E$1:AD$1)</f>
        <v>67600.597503612051</v>
      </c>
      <c r="AF72" s="52">
        <f>_xlfn.FORECAST.LINEAR(AF$1,$E72:AE72,$E$1:AE$1)</f>
        <v>68414.972370484844</v>
      </c>
      <c r="AG72" s="52">
        <f>_xlfn.FORECAST.LINEAR(AG$1,$E72:AF72,$E$1:AF$1)</f>
        <v>69229.347237358103</v>
      </c>
    </row>
    <row r="73" spans="1:33" ht="15" customHeight="1" x14ac:dyDescent="0.25">
      <c r="D73" s="11" t="s">
        <v>2</v>
      </c>
      <c r="E73" s="52">
        <f>Population!D67*E17/100</f>
        <v>59378.877</v>
      </c>
      <c r="F73" s="52">
        <f>Population!E67*F17/100</f>
        <v>48426.248</v>
      </c>
      <c r="G73" s="52">
        <f>Population!F67*G17/100</f>
        <v>49048.692000000003</v>
      </c>
      <c r="H73" s="52">
        <f>Population!G67*H17/100</f>
        <v>50237.90800000001</v>
      </c>
      <c r="I73" s="52">
        <f>Population!H67*I17/100</f>
        <v>55376.108999999997</v>
      </c>
      <c r="J73" s="52">
        <f>Population!I67*J17/100</f>
        <v>55875.339000000007</v>
      </c>
      <c r="K73" s="52">
        <f>Population!J67*K17/100</f>
        <v>53882.733000000007</v>
      </c>
      <c r="L73" s="52">
        <f>Population!K67*L17/100</f>
        <v>68311.320999999996</v>
      </c>
      <c r="M73" s="52">
        <f>Population!L67*M17/100</f>
        <v>67674.959999999992</v>
      </c>
      <c r="N73" s="52">
        <f>Population!M67*N17/100</f>
        <v>68699.092999999993</v>
      </c>
      <c r="O73" s="52">
        <f>Population!N67*O17/100</f>
        <v>64299.55</v>
      </c>
      <c r="P73" s="52">
        <f>Population!O67*P17/100</f>
        <v>69195.775999999998</v>
      </c>
      <c r="Q73" s="52">
        <f>Population!P67*Q17/100</f>
        <v>75113.080000000016</v>
      </c>
      <c r="R73" s="52">
        <f>Population!Q67*R17/100</f>
        <v>73911.899999999994</v>
      </c>
      <c r="S73" s="52">
        <f>Population!R67*S17/100</f>
        <v>64196.815999999999</v>
      </c>
      <c r="T73" s="52">
        <f>Population!S67*T17/100</f>
        <v>65641.240000000005</v>
      </c>
      <c r="U73" s="52">
        <f>Population!T67*U17/100</f>
        <v>57655.095000000001</v>
      </c>
      <c r="V73" s="52">
        <f>Population!U67*V17/100</f>
        <v>55987.680999999997</v>
      </c>
      <c r="W73" s="52">
        <f>_xlfn.FORECAST.LINEAR(W$1,$E73:V73,$E$1:V$1)</f>
        <v>69283.439816993428</v>
      </c>
      <c r="X73" s="52">
        <f>_xlfn.FORECAST.LINEAR(X$1,$E73:W73,$E$1:W$1)</f>
        <v>70126.653259718092</v>
      </c>
      <c r="Y73" s="52">
        <f>_xlfn.FORECAST.LINEAR(Y$1,$E73:X73,$E$1:X$1)</f>
        <v>70969.866702442523</v>
      </c>
      <c r="Z73" s="52">
        <f>_xlfn.FORECAST.LINEAR(Z$1,$E73:Y73,$E$1:Y$1)</f>
        <v>71813.080145166954</v>
      </c>
      <c r="AA73" s="52">
        <f>_xlfn.FORECAST.LINEAR(AA$1,$E73:Z73,$E$1:Z$1)</f>
        <v>72656.293587891618</v>
      </c>
      <c r="AB73" s="52">
        <f>_xlfn.FORECAST.LINEAR(AB$1,$E73:AA73,$E$1:AA$1)</f>
        <v>73499.507030615583</v>
      </c>
      <c r="AC73" s="52">
        <f>_xlfn.FORECAST.LINEAR(AC$1,$E73:AB73,$E$1:AB$1)</f>
        <v>74342.720473340247</v>
      </c>
      <c r="AD73" s="52">
        <f>_xlfn.FORECAST.LINEAR(AD$1,$E73:AC73,$E$1:AC$1)</f>
        <v>75185.933916064911</v>
      </c>
      <c r="AE73" s="52">
        <f>_xlfn.FORECAST.LINEAR(AE$1,$E73:AD73,$E$1:AD$1)</f>
        <v>76029.147358789109</v>
      </c>
      <c r="AF73" s="52">
        <f>_xlfn.FORECAST.LINEAR(AF$1,$E73:AE73,$E$1:AE$1)</f>
        <v>76872.360801513772</v>
      </c>
      <c r="AG73" s="52">
        <f>_xlfn.FORECAST.LINEAR(AG$1,$E73:AF73,$E$1:AF$1)</f>
        <v>77715.574244237971</v>
      </c>
    </row>
    <row r="74" spans="1:33" ht="15" customHeight="1" x14ac:dyDescent="0.25">
      <c r="A74" s="2" t="s">
        <v>16</v>
      </c>
      <c r="B74" s="2" t="s">
        <v>13</v>
      </c>
      <c r="C74" s="2" t="s">
        <v>14</v>
      </c>
      <c r="D74" s="11" t="s">
        <v>0</v>
      </c>
      <c r="E74" s="52">
        <f>Population!D68*E21/100</f>
        <v>38312.560000000005</v>
      </c>
      <c r="F74" s="52">
        <f>Population!E68*F21/100</f>
        <v>34226.5</v>
      </c>
      <c r="G74" s="52">
        <f>Population!F68*G21/100</f>
        <v>35101.440000000002</v>
      </c>
      <c r="H74" s="52">
        <f>Population!G68*H21/100</f>
        <v>39354.699999999997</v>
      </c>
      <c r="I74" s="52">
        <f>Population!H68*I21/100</f>
        <v>45913.497000000003</v>
      </c>
      <c r="J74" s="52">
        <f>Population!I68*J21/100</f>
        <v>44398.616000000009</v>
      </c>
      <c r="K74" s="52">
        <f>Population!J68*K21/100</f>
        <v>44820.831000000006</v>
      </c>
      <c r="L74" s="52">
        <f>Population!K68*L21/100</f>
        <v>44711.616000000009</v>
      </c>
      <c r="M74" s="52">
        <f>Population!L68*M21/100</f>
        <v>37559.412000000004</v>
      </c>
      <c r="N74" s="52">
        <f>Population!M68*N21/100</f>
        <v>42336.711000000003</v>
      </c>
      <c r="O74" s="52">
        <f>Population!N68*O21/100</f>
        <v>44401.37</v>
      </c>
      <c r="P74" s="52">
        <f>Population!O68*P21/100</f>
        <v>41534.703000000001</v>
      </c>
      <c r="Q74" s="52">
        <f>Population!P68*Q21/100</f>
        <v>40622.910000000003</v>
      </c>
      <c r="R74" s="52">
        <f>Population!Q68*R21/100</f>
        <v>39130.175000000003</v>
      </c>
      <c r="S74" s="52">
        <f>Population!R68*S21/100</f>
        <v>33826.704000000005</v>
      </c>
      <c r="T74" s="52">
        <f>Population!S68*T21/100</f>
        <v>39264.589999999997</v>
      </c>
      <c r="U74" s="52">
        <f>Population!T68*U21/100</f>
        <v>31104.900000000005</v>
      </c>
      <c r="V74" s="52">
        <f>Population!U68*V21/100</f>
        <v>34252.44</v>
      </c>
      <c r="W74" s="52">
        <f>_xlfn.FORECAST.LINEAR(W$1,$E74:V74,$E$1:V$1)</f>
        <v>37310.658758169913</v>
      </c>
      <c r="X74" s="52">
        <f>_xlfn.FORECAST.LINEAR(X$1,$E74:W74,$E$1:W$1)</f>
        <v>37080.940528035746</v>
      </c>
      <c r="Y74" s="52">
        <f>_xlfn.FORECAST.LINEAR(Y$1,$E74:X74,$E$1:X$1)</f>
        <v>36851.222297901579</v>
      </c>
      <c r="Z74" s="52">
        <f>_xlfn.FORECAST.LINEAR(Z$1,$E74:Y74,$E$1:Y$1)</f>
        <v>36621.50406776747</v>
      </c>
      <c r="AA74" s="52">
        <f>_xlfn.FORECAST.LINEAR(AA$1,$E74:Z74,$E$1:Z$1)</f>
        <v>36391.785837633302</v>
      </c>
      <c r="AB74" s="52">
        <f>_xlfn.FORECAST.LINEAR(AB$1,$E74:AA74,$E$1:AA$1)</f>
        <v>36162.067607499135</v>
      </c>
      <c r="AC74" s="52">
        <f>_xlfn.FORECAST.LINEAR(AC$1,$E74:AB74,$E$1:AB$1)</f>
        <v>35932.349377364968</v>
      </c>
      <c r="AD74" s="52">
        <f>_xlfn.FORECAST.LINEAR(AD$1,$E74:AC74,$E$1:AC$1)</f>
        <v>35702.631147230801</v>
      </c>
      <c r="AE74" s="52">
        <f>_xlfn.FORECAST.LINEAR(AE$1,$E74:AD74,$E$1:AD$1)</f>
        <v>35472.912917096633</v>
      </c>
      <c r="AF74" s="52">
        <f>_xlfn.FORECAST.LINEAR(AF$1,$E74:AE74,$E$1:AE$1)</f>
        <v>35243.194686962466</v>
      </c>
      <c r="AG74" s="52">
        <f>_xlfn.FORECAST.LINEAR(AG$1,$E74:AF74,$E$1:AF$1)</f>
        <v>35013.476456828357</v>
      </c>
    </row>
    <row r="75" spans="1:33" ht="15" customHeight="1" x14ac:dyDescent="0.25">
      <c r="D75" s="11" t="s">
        <v>1</v>
      </c>
      <c r="E75" s="52">
        <f>Population!D69*E22/100</f>
        <v>73422.967000000004</v>
      </c>
      <c r="F75" s="52">
        <f>Population!E69*F22/100</f>
        <v>68600.831999999995</v>
      </c>
      <c r="G75" s="52">
        <f>Population!F69*G22/100</f>
        <v>66830.952000000005</v>
      </c>
      <c r="H75" s="52">
        <f>Population!G69*H22/100</f>
        <v>66624.77399999999</v>
      </c>
      <c r="I75" s="52">
        <f>Population!H69*I22/100</f>
        <v>56084.875</v>
      </c>
      <c r="J75" s="52">
        <f>Population!I69*J22/100</f>
        <v>76714.164000000004</v>
      </c>
      <c r="K75" s="52">
        <f>Population!J69*K22/100</f>
        <v>74651.12</v>
      </c>
      <c r="L75" s="52">
        <f>Population!K69*L22/100</f>
        <v>77316.659</v>
      </c>
      <c r="M75" s="52">
        <f>Population!L69*M22/100</f>
        <v>72730.543999999994</v>
      </c>
      <c r="N75" s="52">
        <f>Population!M69*N22/100</f>
        <v>79486.452000000005</v>
      </c>
      <c r="O75" s="52">
        <f>Population!N69*O22/100</f>
        <v>76774.684000000008</v>
      </c>
      <c r="P75" s="52">
        <f>Population!O69*P22/100</f>
        <v>75741.236999999994</v>
      </c>
      <c r="Q75" s="52">
        <f>Population!P69*Q22/100</f>
        <v>77741.56</v>
      </c>
      <c r="R75" s="52">
        <f>Population!Q69*R22/100</f>
        <v>69496.33600000001</v>
      </c>
      <c r="S75" s="52">
        <f>Population!R69*S22/100</f>
        <v>72071.776000000013</v>
      </c>
      <c r="T75" s="52">
        <f>Population!S69*T22/100</f>
        <v>70045.607000000004</v>
      </c>
      <c r="U75" s="52">
        <f>Population!T69*U22/100</f>
        <v>71549.153999999995</v>
      </c>
      <c r="V75" s="52">
        <f>Population!U69*V22/100</f>
        <v>60059.684999999998</v>
      </c>
      <c r="W75" s="52">
        <f>_xlfn.FORECAST.LINEAR(W$1,$E75:V75,$E$1:V$1)</f>
        <v>72002.397424836614</v>
      </c>
      <c r="X75" s="52">
        <f>_xlfn.FORECAST.LINEAR(X$1,$E75:W75,$E$1:W$1)</f>
        <v>72061.460440316499</v>
      </c>
      <c r="Y75" s="52">
        <f>_xlfn.FORECAST.LINEAR(Y$1,$E75:X75,$E$1:X$1)</f>
        <v>72120.523455796385</v>
      </c>
      <c r="Z75" s="52">
        <f>_xlfn.FORECAST.LINEAR(Z$1,$E75:Y75,$E$1:Y$1)</f>
        <v>72179.586471276256</v>
      </c>
      <c r="AA75" s="52">
        <f>_xlfn.FORECAST.LINEAR(AA$1,$E75:Z75,$E$1:Z$1)</f>
        <v>72238.649486756127</v>
      </c>
      <c r="AB75" s="52">
        <f>_xlfn.FORECAST.LINEAR(AB$1,$E75:AA75,$E$1:AA$1)</f>
        <v>72297.712502236027</v>
      </c>
      <c r="AC75" s="52">
        <f>_xlfn.FORECAST.LINEAR(AC$1,$E75:AB75,$E$1:AB$1)</f>
        <v>72356.775517715898</v>
      </c>
      <c r="AD75" s="52">
        <f>_xlfn.FORECAST.LINEAR(AD$1,$E75:AC75,$E$1:AC$1)</f>
        <v>72415.838533195769</v>
      </c>
      <c r="AE75" s="52">
        <f>_xlfn.FORECAST.LINEAR(AE$1,$E75:AD75,$E$1:AD$1)</f>
        <v>72474.901548675654</v>
      </c>
      <c r="AF75" s="52">
        <f>_xlfn.FORECAST.LINEAR(AF$1,$E75:AE75,$E$1:AE$1)</f>
        <v>72533.96456415554</v>
      </c>
      <c r="AG75" s="52">
        <f>_xlfn.FORECAST.LINEAR(AG$1,$E75:AF75,$E$1:AF$1)</f>
        <v>72593.027579635396</v>
      </c>
    </row>
    <row r="76" spans="1:33" ht="15" customHeight="1" x14ac:dyDescent="0.25">
      <c r="D76" s="11" t="s">
        <v>2</v>
      </c>
      <c r="E76" s="52">
        <f>Population!D70*E23/100</f>
        <v>80598.593999999997</v>
      </c>
      <c r="F76" s="52">
        <f>Population!E70*F23/100</f>
        <v>71309.91</v>
      </c>
      <c r="G76" s="52">
        <f>Population!F70*G23/100</f>
        <v>64009.856</v>
      </c>
      <c r="H76" s="52">
        <f>Population!G70*H23/100</f>
        <v>64371.968000000001</v>
      </c>
      <c r="I76" s="52">
        <f>Population!H70*I23/100</f>
        <v>68559.183000000005</v>
      </c>
      <c r="J76" s="52">
        <f>Population!I70*J23/100</f>
        <v>70797.482000000004</v>
      </c>
      <c r="K76" s="52">
        <f>Population!J70*K23/100</f>
        <v>69171.63</v>
      </c>
      <c r="L76" s="52">
        <f>Population!K70*L23/100</f>
        <v>85792.83</v>
      </c>
      <c r="M76" s="52">
        <f>Population!L70*M23/100</f>
        <v>83484.808000000005</v>
      </c>
      <c r="N76" s="52">
        <f>Population!M70*N23/100</f>
        <v>79442.495999999999</v>
      </c>
      <c r="O76" s="52">
        <f>Population!N70*O23/100</f>
        <v>81786.66</v>
      </c>
      <c r="P76" s="52">
        <f>Population!O70*P23/100</f>
        <v>89338.129000000001</v>
      </c>
      <c r="Q76" s="52">
        <f>Population!P70*Q23/100</f>
        <v>91345.354000000007</v>
      </c>
      <c r="R76" s="52">
        <f>Population!Q70*R23/100</f>
        <v>88709.876999999993</v>
      </c>
      <c r="S76" s="52">
        <f>Population!R70*S23/100</f>
        <v>81796.176999999996</v>
      </c>
      <c r="T76" s="52">
        <f>Population!S70*T23/100</f>
        <v>73818.044999999998</v>
      </c>
      <c r="U76" s="52">
        <f>Population!T70*U23/100</f>
        <v>59987.766999999993</v>
      </c>
      <c r="V76" s="52">
        <f>Population!U70*V23/100</f>
        <v>61021.187999999995</v>
      </c>
      <c r="W76" s="52">
        <f>_xlfn.FORECAST.LINEAR(W$1,$E76:V76,$E$1:V$1)</f>
        <v>78072.798738562095</v>
      </c>
      <c r="X76" s="52">
        <f>_xlfn.FORECAST.LINEAR(X$1,$E76:W76,$E$1:W$1)</f>
        <v>78306.532208118355</v>
      </c>
      <c r="Y76" s="52">
        <f>_xlfn.FORECAST.LINEAR(Y$1,$E76:X76,$E$1:X$1)</f>
        <v>78540.265677674615</v>
      </c>
      <c r="Z76" s="52">
        <f>_xlfn.FORECAST.LINEAR(Z$1,$E76:Y76,$E$1:Y$1)</f>
        <v>78773.999147230876</v>
      </c>
      <c r="AA76" s="52">
        <f>_xlfn.FORECAST.LINEAR(AA$1,$E76:Z76,$E$1:Z$1)</f>
        <v>79007.732616787078</v>
      </c>
      <c r="AB76" s="52">
        <f>_xlfn.FORECAST.LINEAR(AB$1,$E76:AA76,$E$1:AA$1)</f>
        <v>79241.466086343338</v>
      </c>
      <c r="AC76" s="52">
        <f>_xlfn.FORECAST.LINEAR(AC$1,$E76:AB76,$E$1:AB$1)</f>
        <v>79475.199555899599</v>
      </c>
      <c r="AD76" s="52">
        <f>_xlfn.FORECAST.LINEAR(AD$1,$E76:AC76,$E$1:AC$1)</f>
        <v>79708.933025455859</v>
      </c>
      <c r="AE76" s="52">
        <f>_xlfn.FORECAST.LINEAR(AE$1,$E76:AD76,$E$1:AD$1)</f>
        <v>79942.666495012061</v>
      </c>
      <c r="AF76" s="52">
        <f>_xlfn.FORECAST.LINEAR(AF$1,$E76:AE76,$E$1:AE$1)</f>
        <v>80176.399964568322</v>
      </c>
      <c r="AG76" s="52">
        <f>_xlfn.FORECAST.LINEAR(AG$1,$E76:AF76,$E$1:AF$1)</f>
        <v>80410.133434124582</v>
      </c>
    </row>
    <row r="77" spans="1:33" ht="15" customHeight="1" x14ac:dyDescent="0.25">
      <c r="A77" s="2" t="s">
        <v>17</v>
      </c>
      <c r="B77" s="2" t="s">
        <v>11</v>
      </c>
      <c r="C77" s="2" t="s">
        <v>14</v>
      </c>
      <c r="D77" s="11" t="s">
        <v>0</v>
      </c>
      <c r="E77" s="52">
        <f>Population!D71*E27/100</f>
        <v>32261.529999999995</v>
      </c>
      <c r="F77" s="52">
        <f>Population!E71*F27/100</f>
        <v>25695.72</v>
      </c>
      <c r="G77" s="52">
        <f>Population!F71*G27/100</f>
        <v>28763.97</v>
      </c>
      <c r="H77" s="52">
        <f>Population!G71*H27/100</f>
        <v>27206.1</v>
      </c>
      <c r="I77" s="52">
        <f>Population!H71*I27/100</f>
        <v>28285.506999999998</v>
      </c>
      <c r="J77" s="52">
        <f>Population!I71*J27/100</f>
        <v>29667</v>
      </c>
      <c r="K77" s="52">
        <f>Population!J71*K27/100</f>
        <v>28657.911</v>
      </c>
      <c r="L77" s="52">
        <f>Population!K71*L27/100</f>
        <v>30488.5</v>
      </c>
      <c r="M77" s="52">
        <f>Population!L71*M27/100</f>
        <v>28308.76</v>
      </c>
      <c r="N77" s="52">
        <f>Population!M71*N27/100</f>
        <v>28966.080000000002</v>
      </c>
      <c r="O77" s="52">
        <f>Population!N71*O27/100</f>
        <v>28970.801999999996</v>
      </c>
      <c r="P77" s="52">
        <f>Population!O71*P27/100</f>
        <v>28733.471999999998</v>
      </c>
      <c r="Q77" s="52">
        <f>Population!P71*Q27/100</f>
        <v>31317.439999999999</v>
      </c>
      <c r="R77" s="52">
        <f>Population!Q71*R27/100</f>
        <v>30540.816000000003</v>
      </c>
      <c r="S77" s="52">
        <f>Population!R71*S27/100</f>
        <v>29187.078999999998</v>
      </c>
      <c r="T77" s="52">
        <f>Population!S71*T27/100</f>
        <v>31771.249000000003</v>
      </c>
      <c r="U77" s="52">
        <f>Population!T71*U27/100</f>
        <v>32075.365000000002</v>
      </c>
      <c r="V77" s="52">
        <f>Population!U71*V27/100</f>
        <v>32740.322999999997</v>
      </c>
      <c r="W77" s="52">
        <f>_xlfn.FORECAST.LINEAR(W$1,$E77:V77,$E$1:V$1)</f>
        <v>31539.205686274508</v>
      </c>
      <c r="X77" s="52">
        <f>_xlfn.FORECAST.LINEAR(X$1,$E77:W77,$E$1:W$1)</f>
        <v>31738.434214654262</v>
      </c>
      <c r="Y77" s="52">
        <f>_xlfn.FORECAST.LINEAR(Y$1,$E77:X77,$E$1:X$1)</f>
        <v>31937.662743034016</v>
      </c>
      <c r="Z77" s="52">
        <f>_xlfn.FORECAST.LINEAR(Z$1,$E77:Y77,$E$1:Y$1)</f>
        <v>32136.891271413828</v>
      </c>
      <c r="AA77" s="52">
        <f>_xlfn.FORECAST.LINEAR(AA$1,$E77:Z77,$E$1:Z$1)</f>
        <v>32336.119799793581</v>
      </c>
      <c r="AB77" s="52">
        <f>_xlfn.FORECAST.LINEAR(AB$1,$E77:AA77,$E$1:AA$1)</f>
        <v>32535.348328173393</v>
      </c>
      <c r="AC77" s="52">
        <f>_xlfn.FORECAST.LINEAR(AC$1,$E77:AB77,$E$1:AB$1)</f>
        <v>32734.576856553147</v>
      </c>
      <c r="AD77" s="52">
        <f>_xlfn.FORECAST.LINEAR(AD$1,$E77:AC77,$E$1:AC$1)</f>
        <v>32933.805384932901</v>
      </c>
      <c r="AE77" s="52">
        <f>_xlfn.FORECAST.LINEAR(AE$1,$E77:AD77,$E$1:AD$1)</f>
        <v>33133.033913312654</v>
      </c>
      <c r="AF77" s="52">
        <f>_xlfn.FORECAST.LINEAR(AF$1,$E77:AE77,$E$1:AE$1)</f>
        <v>33332.262441692466</v>
      </c>
      <c r="AG77" s="52">
        <f>_xlfn.FORECAST.LINEAR(AG$1,$E77:AF77,$E$1:AF$1)</f>
        <v>33531.49097007222</v>
      </c>
    </row>
    <row r="78" spans="1:33" ht="15" customHeight="1" x14ac:dyDescent="0.25">
      <c r="D78" s="11" t="s">
        <v>1</v>
      </c>
      <c r="E78" s="52">
        <f>Population!D72*E28/100</f>
        <v>47202.75</v>
      </c>
      <c r="F78" s="52">
        <f>Population!E72*F28/100</f>
        <v>49459.8</v>
      </c>
      <c r="G78" s="52">
        <f>Population!F72*G28/100</f>
        <v>46660.46</v>
      </c>
      <c r="H78" s="52">
        <f>Population!G72*H28/100</f>
        <v>46513.152000000002</v>
      </c>
      <c r="I78" s="52">
        <f>Population!H72*I28/100</f>
        <v>43777.463999999993</v>
      </c>
      <c r="J78" s="52">
        <f>Population!I72*J28/100</f>
        <v>50484.131999999991</v>
      </c>
      <c r="K78" s="52">
        <f>Population!J72*K28/100</f>
        <v>48167.945</v>
      </c>
      <c r="L78" s="52">
        <f>Population!K72*L28/100</f>
        <v>47701.345999999998</v>
      </c>
      <c r="M78" s="52">
        <f>Population!L72*M28/100</f>
        <v>44707.8</v>
      </c>
      <c r="N78" s="52">
        <f>Population!M72*N28/100</f>
        <v>46106.735999999997</v>
      </c>
      <c r="O78" s="52">
        <f>Population!N72*O28/100</f>
        <v>47278.14</v>
      </c>
      <c r="P78" s="52">
        <f>Population!O72*P28/100</f>
        <v>48383.954000000005</v>
      </c>
      <c r="Q78" s="52">
        <f>Population!P72*Q28/100</f>
        <v>48301.788</v>
      </c>
      <c r="R78" s="52">
        <f>Population!Q72*R28/100</f>
        <v>46941.334999999999</v>
      </c>
      <c r="S78" s="52">
        <f>Population!R72*S28/100</f>
        <v>49401.968000000001</v>
      </c>
      <c r="T78" s="52">
        <f>Population!S72*T28/100</f>
        <v>50897.522000000004</v>
      </c>
      <c r="U78" s="52">
        <f>Population!T72*U28/100</f>
        <v>57009.824000000001</v>
      </c>
      <c r="V78" s="52">
        <f>Population!U72*V28/100</f>
        <v>48586.043999999994</v>
      </c>
      <c r="W78" s="52">
        <f>_xlfn.FORECAST.LINEAR(W$1,$E78:V78,$E$1:V$1)</f>
        <v>50532.665104575164</v>
      </c>
      <c r="X78" s="52">
        <f>_xlfn.FORECAST.LINEAR(X$1,$E78:W78,$E$1:W$1)</f>
        <v>50778.313127278991</v>
      </c>
      <c r="Y78" s="52">
        <f>_xlfn.FORECAST.LINEAR(Y$1,$E78:X78,$E$1:X$1)</f>
        <v>51023.961149982817</v>
      </c>
      <c r="Z78" s="52">
        <f>_xlfn.FORECAST.LINEAR(Z$1,$E78:Y78,$E$1:Y$1)</f>
        <v>51269.609172686643</v>
      </c>
      <c r="AA78" s="52">
        <f>_xlfn.FORECAST.LINEAR(AA$1,$E78:Z78,$E$1:Z$1)</f>
        <v>51515.257195390412</v>
      </c>
      <c r="AB78" s="52">
        <f>_xlfn.FORECAST.LINEAR(AB$1,$E78:AA78,$E$1:AA$1)</f>
        <v>51760.905218094238</v>
      </c>
      <c r="AC78" s="52">
        <f>_xlfn.FORECAST.LINEAR(AC$1,$E78:AB78,$E$1:AB$1)</f>
        <v>52006.553240798065</v>
      </c>
      <c r="AD78" s="52">
        <f>_xlfn.FORECAST.LINEAR(AD$1,$E78:AC78,$E$1:AC$1)</f>
        <v>52252.201263501891</v>
      </c>
      <c r="AE78" s="52">
        <f>_xlfn.FORECAST.LINEAR(AE$1,$E78:AD78,$E$1:AD$1)</f>
        <v>52497.849286205717</v>
      </c>
      <c r="AF78" s="52">
        <f>_xlfn.FORECAST.LINEAR(AF$1,$E78:AE78,$E$1:AE$1)</f>
        <v>52743.497308909486</v>
      </c>
      <c r="AG78" s="52">
        <f>_xlfn.FORECAST.LINEAR(AG$1,$E78:AF78,$E$1:AF$1)</f>
        <v>52989.145331613312</v>
      </c>
    </row>
    <row r="79" spans="1:33" ht="15" customHeight="1" x14ac:dyDescent="0.25">
      <c r="D79" s="11" t="s">
        <v>2</v>
      </c>
      <c r="E79" s="52">
        <f>Population!D73*E29/100</f>
        <v>58301.385999999999</v>
      </c>
      <c r="F79" s="52">
        <f>Population!E73*F29/100</f>
        <v>56690.471999999994</v>
      </c>
      <c r="G79" s="52">
        <f>Population!F73*G29/100</f>
        <v>50717.183999999994</v>
      </c>
      <c r="H79" s="52">
        <f>Population!G73*H29/100</f>
        <v>54533.57</v>
      </c>
      <c r="I79" s="52">
        <f>Population!H73*I29/100</f>
        <v>56225.799000000006</v>
      </c>
      <c r="J79" s="52">
        <f>Population!I73*J29/100</f>
        <v>52050.156000000003</v>
      </c>
      <c r="K79" s="52">
        <f>Population!J73*K29/100</f>
        <v>51164.33</v>
      </c>
      <c r="L79" s="52">
        <f>Population!K73*L29/100</f>
        <v>59098.11</v>
      </c>
      <c r="M79" s="52">
        <f>Population!L73*M29/100</f>
        <v>53167.915000000001</v>
      </c>
      <c r="N79" s="52">
        <f>Population!M73*N29/100</f>
        <v>56491.184000000001</v>
      </c>
      <c r="O79" s="52">
        <f>Population!N73*O29/100</f>
        <v>58213.214999999997</v>
      </c>
      <c r="P79" s="52">
        <f>Population!O73*P29/100</f>
        <v>53156.32</v>
      </c>
      <c r="Q79" s="52">
        <f>Population!P73*Q29/100</f>
        <v>56628.736000000004</v>
      </c>
      <c r="R79" s="52">
        <f>Population!Q73*R29/100</f>
        <v>64488.072</v>
      </c>
      <c r="S79" s="52">
        <f>Population!R73*S29/100</f>
        <v>58051.735999999997</v>
      </c>
      <c r="T79" s="52">
        <f>Population!S73*T29/100</f>
        <v>56762.93</v>
      </c>
      <c r="U79" s="52">
        <f>Population!T73*U29/100</f>
        <v>46522.431000000004</v>
      </c>
      <c r="V79" s="52">
        <f>Population!U73*V29/100</f>
        <v>48639.458999999995</v>
      </c>
      <c r="W79" s="52">
        <f>_xlfn.FORECAST.LINEAR(W$1,$E79:V79,$E$1:V$1)</f>
        <v>54241.93362091505</v>
      </c>
      <c r="X79" s="52">
        <f>_xlfn.FORECAST.LINEAR(X$1,$E79:W79,$E$1:W$1)</f>
        <v>54156.856428964558</v>
      </c>
      <c r="Y79" s="52">
        <f>_xlfn.FORECAST.LINEAR(Y$1,$E79:X79,$E$1:X$1)</f>
        <v>54071.779237014096</v>
      </c>
      <c r="Z79" s="52">
        <f>_xlfn.FORECAST.LINEAR(Z$1,$E79:Y79,$E$1:Y$1)</f>
        <v>53986.702045063634</v>
      </c>
      <c r="AA79" s="52">
        <f>_xlfn.FORECAST.LINEAR(AA$1,$E79:Z79,$E$1:Z$1)</f>
        <v>53901.624853113171</v>
      </c>
      <c r="AB79" s="52">
        <f>_xlfn.FORECAST.LINEAR(AB$1,$E79:AA79,$E$1:AA$1)</f>
        <v>53816.547661162709</v>
      </c>
      <c r="AC79" s="52">
        <f>_xlfn.FORECAST.LINEAR(AC$1,$E79:AB79,$E$1:AB$1)</f>
        <v>53731.470469212247</v>
      </c>
      <c r="AD79" s="52">
        <f>_xlfn.FORECAST.LINEAR(AD$1,$E79:AC79,$E$1:AC$1)</f>
        <v>53646.393277261785</v>
      </c>
      <c r="AE79" s="52">
        <f>_xlfn.FORECAST.LINEAR(AE$1,$E79:AD79,$E$1:AD$1)</f>
        <v>53561.316085311322</v>
      </c>
      <c r="AF79" s="52">
        <f>_xlfn.FORECAST.LINEAR(AF$1,$E79:AE79,$E$1:AE$1)</f>
        <v>53476.23889336086</v>
      </c>
      <c r="AG79" s="52">
        <f>_xlfn.FORECAST.LINEAR(AG$1,$E79:AF79,$E$1:AF$1)</f>
        <v>53391.161701410398</v>
      </c>
    </row>
    <row r="80" spans="1:33" ht="15" customHeight="1" x14ac:dyDescent="0.25">
      <c r="A80" s="2" t="s">
        <v>17</v>
      </c>
      <c r="B80" s="2" t="s">
        <v>13</v>
      </c>
      <c r="C80" s="2" t="s">
        <v>14</v>
      </c>
      <c r="D80" s="11" t="s">
        <v>0</v>
      </c>
      <c r="E80" s="52">
        <f>Population!D74*E33/100</f>
        <v>55607.79</v>
      </c>
      <c r="F80" s="52">
        <f>Population!E74*F33/100</f>
        <v>50143.4</v>
      </c>
      <c r="G80" s="52">
        <f>Population!F74*G33/100</f>
        <v>49711.69</v>
      </c>
      <c r="H80" s="52">
        <f>Population!G74*H33/100</f>
        <v>48611.88</v>
      </c>
      <c r="I80" s="52">
        <f>Population!H74*I33/100</f>
        <v>49204.89</v>
      </c>
      <c r="J80" s="52">
        <f>Population!I74*J33/100</f>
        <v>46870.719000000005</v>
      </c>
      <c r="K80" s="52">
        <f>Population!J74*K33/100</f>
        <v>46516.455999999998</v>
      </c>
      <c r="L80" s="52">
        <f>Population!K74*L33/100</f>
        <v>49953.887999999999</v>
      </c>
      <c r="M80" s="52">
        <f>Population!L74*M33/100</f>
        <v>42250.526000000005</v>
      </c>
      <c r="N80" s="52">
        <f>Population!M74*N33/100</f>
        <v>44990.421000000002</v>
      </c>
      <c r="O80" s="52">
        <f>Population!N74*O33/100</f>
        <v>49476.335999999996</v>
      </c>
      <c r="P80" s="52">
        <f>Population!O74*P33/100</f>
        <v>45146.92</v>
      </c>
      <c r="Q80" s="52">
        <f>Population!P74*Q33/100</f>
        <v>43154.432000000001</v>
      </c>
      <c r="R80" s="52">
        <f>Population!Q74*R33/100</f>
        <v>44403.66</v>
      </c>
      <c r="S80" s="52">
        <f>Population!R74*S33/100</f>
        <v>43285.667999999998</v>
      </c>
      <c r="T80" s="52">
        <f>Population!S74*T33/100</f>
        <v>44536.667000000001</v>
      </c>
      <c r="U80" s="52">
        <f>Population!T74*U33/100</f>
        <v>45174.968999999997</v>
      </c>
      <c r="V80" s="52">
        <f>Population!U74*V33/100</f>
        <v>45164.377999999997</v>
      </c>
      <c r="W80" s="52">
        <f>_xlfn.FORECAST.LINEAR(W$1,$E80:V80,$E$1:V$1)</f>
        <v>42462.087810457568</v>
      </c>
      <c r="X80" s="52">
        <f>_xlfn.FORECAST.LINEAR(X$1,$E80:W80,$E$1:W$1)</f>
        <v>41994.911732026143</v>
      </c>
      <c r="Y80" s="52">
        <f>_xlfn.FORECAST.LINEAR(Y$1,$E80:X80,$E$1:X$1)</f>
        <v>41527.735653594718</v>
      </c>
      <c r="Z80" s="52">
        <f>_xlfn.FORECAST.LINEAR(Z$1,$E80:Y80,$E$1:Y$1)</f>
        <v>41060.55957516341</v>
      </c>
      <c r="AA80" s="52">
        <f>_xlfn.FORECAST.LINEAR(AA$1,$E80:Z80,$E$1:Z$1)</f>
        <v>40593.383496732102</v>
      </c>
      <c r="AB80" s="52">
        <f>_xlfn.FORECAST.LINEAR(AB$1,$E80:AA80,$E$1:AA$1)</f>
        <v>40126.207418300677</v>
      </c>
      <c r="AC80" s="52">
        <f>_xlfn.FORECAST.LINEAR(AC$1,$E80:AB80,$E$1:AB$1)</f>
        <v>39659.031339869252</v>
      </c>
      <c r="AD80" s="52">
        <f>_xlfn.FORECAST.LINEAR(AD$1,$E80:AC80,$E$1:AC$1)</f>
        <v>39191.855261437944</v>
      </c>
      <c r="AE80" s="52">
        <f>_xlfn.FORECAST.LINEAR(AE$1,$E80:AD80,$E$1:AD$1)</f>
        <v>38724.679183006636</v>
      </c>
      <c r="AF80" s="52">
        <f>_xlfn.FORECAST.LINEAR(AF$1,$E80:AE80,$E$1:AE$1)</f>
        <v>38257.503104575211</v>
      </c>
      <c r="AG80" s="52">
        <f>_xlfn.FORECAST.LINEAR(AG$1,$E80:AF80,$E$1:AF$1)</f>
        <v>37790.327026143786</v>
      </c>
    </row>
    <row r="81" spans="1:33" ht="15" customHeight="1" x14ac:dyDescent="0.25">
      <c r="D81" s="11" t="s">
        <v>1</v>
      </c>
      <c r="E81" s="52">
        <f>Population!D75*E34/100</f>
        <v>91868.915999999997</v>
      </c>
      <c r="F81" s="52">
        <f>Population!E75*F34/100</f>
        <v>85970.017000000007</v>
      </c>
      <c r="G81" s="52">
        <f>Population!F75*G34/100</f>
        <v>85891.107999999993</v>
      </c>
      <c r="H81" s="52">
        <f>Population!G75*H34/100</f>
        <v>89016.437999999995</v>
      </c>
      <c r="I81" s="52">
        <f>Population!H75*I34/100</f>
        <v>75945.66</v>
      </c>
      <c r="J81" s="52">
        <f>Population!I75*J34/100</f>
        <v>92947.806000000011</v>
      </c>
      <c r="K81" s="52">
        <f>Population!J75*K34/100</f>
        <v>86389.42</v>
      </c>
      <c r="L81" s="52">
        <f>Population!K75*L34/100</f>
        <v>89869.294999999998</v>
      </c>
      <c r="M81" s="52">
        <f>Population!L75*M34/100</f>
        <v>85221.324999999997</v>
      </c>
      <c r="N81" s="52">
        <f>Population!M75*N34/100</f>
        <v>84981.943999999989</v>
      </c>
      <c r="O81" s="52">
        <f>Population!N75*O34/100</f>
        <v>80074.639999999985</v>
      </c>
      <c r="P81" s="52">
        <f>Population!O75*P34/100</f>
        <v>80344.620999999999</v>
      </c>
      <c r="Q81" s="52">
        <f>Population!P75*Q34/100</f>
        <v>81964.038</v>
      </c>
      <c r="R81" s="52">
        <f>Population!Q75*R34/100</f>
        <v>78473.286000000007</v>
      </c>
      <c r="S81" s="52">
        <f>Population!R75*S34/100</f>
        <v>82219.656000000003</v>
      </c>
      <c r="T81" s="52">
        <f>Population!S75*T34/100</f>
        <v>84208.17</v>
      </c>
      <c r="U81" s="52">
        <f>Population!T75*U34/100</f>
        <v>87843.521999999997</v>
      </c>
      <c r="V81" s="52">
        <f>Population!U75*V34/100</f>
        <v>76904.633999999991</v>
      </c>
      <c r="W81" s="52">
        <f>_xlfn.FORECAST.LINEAR(W$1,$E81:V81,$E$1:V$1)</f>
        <v>80168.405679738615</v>
      </c>
      <c r="X81" s="52">
        <f>_xlfn.FORECAST.LINEAR(X$1,$E81:W81,$E$1:W$1)</f>
        <v>79717.509809769574</v>
      </c>
      <c r="Y81" s="52">
        <f>_xlfn.FORECAST.LINEAR(Y$1,$E81:X81,$E$1:X$1)</f>
        <v>79266.613939800533</v>
      </c>
      <c r="Z81" s="52">
        <f>_xlfn.FORECAST.LINEAR(Z$1,$E81:Y81,$E$1:Y$1)</f>
        <v>78815.718069831608</v>
      </c>
      <c r="AA81" s="52">
        <f>_xlfn.FORECAST.LINEAR(AA$1,$E81:Z81,$E$1:Z$1)</f>
        <v>78364.82219986245</v>
      </c>
      <c r="AB81" s="52">
        <f>_xlfn.FORECAST.LINEAR(AB$1,$E81:AA81,$E$1:AA$1)</f>
        <v>77913.926329893409</v>
      </c>
      <c r="AC81" s="52">
        <f>_xlfn.FORECAST.LINEAR(AC$1,$E81:AB81,$E$1:AB$1)</f>
        <v>77463.030459924368</v>
      </c>
      <c r="AD81" s="52">
        <f>_xlfn.FORECAST.LINEAR(AD$1,$E81:AC81,$E$1:AC$1)</f>
        <v>77012.134589955327</v>
      </c>
      <c r="AE81" s="52">
        <f>_xlfn.FORECAST.LINEAR(AE$1,$E81:AD81,$E$1:AD$1)</f>
        <v>76561.238719986286</v>
      </c>
      <c r="AF81" s="52">
        <f>_xlfn.FORECAST.LINEAR(AF$1,$E81:AE81,$E$1:AE$1)</f>
        <v>76110.342850017361</v>
      </c>
      <c r="AG81" s="52">
        <f>_xlfn.FORECAST.LINEAR(AG$1,$E81:AF81,$E$1:AF$1)</f>
        <v>75659.44698004832</v>
      </c>
    </row>
    <row r="82" spans="1:33" ht="15" customHeight="1" x14ac:dyDescent="0.25">
      <c r="D82" s="11" t="s">
        <v>2</v>
      </c>
      <c r="E82" s="52">
        <f>Population!D76*E35/100</f>
        <v>115411.12699999999</v>
      </c>
      <c r="F82" s="52">
        <f>Population!E76*F35/100</f>
        <v>102834.36</v>
      </c>
      <c r="G82" s="52">
        <f>Population!F76*G35/100</f>
        <v>101052.3</v>
      </c>
      <c r="H82" s="52">
        <f>Population!G76*H35/100</f>
        <v>100881.55</v>
      </c>
      <c r="I82" s="52">
        <f>Population!H76*I35/100</f>
        <v>104483.21400000001</v>
      </c>
      <c r="J82" s="52">
        <f>Population!I76*J35/100</f>
        <v>95027.29</v>
      </c>
      <c r="K82" s="52">
        <f>Population!J76*K35/100</f>
        <v>101495.34</v>
      </c>
      <c r="L82" s="52">
        <f>Population!K76*L35/100</f>
        <v>103732.42599999999</v>
      </c>
      <c r="M82" s="52">
        <f>Population!L76*M35/100</f>
        <v>100803.72</v>
      </c>
      <c r="N82" s="52">
        <f>Population!M76*N35/100</f>
        <v>105793.56599999999</v>
      </c>
      <c r="O82" s="52">
        <f>Population!N76*O35/100</f>
        <v>99582.21</v>
      </c>
      <c r="P82" s="52">
        <f>Population!O76*P35/100</f>
        <v>96091.244999999995</v>
      </c>
      <c r="Q82" s="52">
        <f>Population!P76*Q35/100</f>
        <v>95695.824000000008</v>
      </c>
      <c r="R82" s="52">
        <f>Population!Q76*R35/100</f>
        <v>91738.201000000001</v>
      </c>
      <c r="S82" s="52">
        <f>Population!R76*S35/100</f>
        <v>82023.911999999997</v>
      </c>
      <c r="T82" s="52">
        <f>Population!S76*T35/100</f>
        <v>83405.055999999997</v>
      </c>
      <c r="U82" s="52">
        <f>Population!T76*U35/100</f>
        <v>73618.344999999987</v>
      </c>
      <c r="V82" s="52">
        <f>Population!U76*V35/100</f>
        <v>76101.83</v>
      </c>
      <c r="W82" s="52">
        <f>_xlfn.FORECAST.LINEAR(W$1,$E82:V82,$E$1:V$1)</f>
        <v>79550.837947712746</v>
      </c>
      <c r="X82" s="52">
        <f>_xlfn.FORECAST.LINEAR(X$1,$E82:W82,$E$1:W$1)</f>
        <v>77808.98746267613</v>
      </c>
      <c r="Y82" s="52">
        <f>_xlfn.FORECAST.LINEAR(Y$1,$E82:X82,$E$1:X$1)</f>
        <v>76067.136977640446</v>
      </c>
      <c r="Z82" s="52">
        <f>_xlfn.FORECAST.LINEAR(Z$1,$E82:Y82,$E$1:Y$1)</f>
        <v>74325.286492604297</v>
      </c>
      <c r="AA82" s="52">
        <f>_xlfn.FORECAST.LINEAR(AA$1,$E82:Z82,$E$1:Z$1)</f>
        <v>72583.436007568147</v>
      </c>
      <c r="AB82" s="52">
        <f>_xlfn.FORECAST.LINEAR(AB$1,$E82:AA82,$E$1:AA$1)</f>
        <v>70841.585522531997</v>
      </c>
      <c r="AC82" s="52">
        <f>_xlfn.FORECAST.LINEAR(AC$1,$E82:AB82,$E$1:AB$1)</f>
        <v>69099.735037495848</v>
      </c>
      <c r="AD82" s="52">
        <f>_xlfn.FORECAST.LINEAR(AD$1,$E82:AC82,$E$1:AC$1)</f>
        <v>67357.884552459698</v>
      </c>
      <c r="AE82" s="52">
        <f>_xlfn.FORECAST.LINEAR(AE$1,$E82:AD82,$E$1:AD$1)</f>
        <v>65616.034067423549</v>
      </c>
      <c r="AF82" s="52">
        <f>_xlfn.FORECAST.LINEAR(AF$1,$E82:AE82,$E$1:AE$1)</f>
        <v>63874.183582387399</v>
      </c>
      <c r="AG82" s="52">
        <f>_xlfn.FORECAST.LINEAR(AG$1,$E82:AF82,$E$1:AF$1)</f>
        <v>62132.333097351249</v>
      </c>
    </row>
    <row r="83" spans="1:33" ht="15" customHeight="1" x14ac:dyDescent="0.25">
      <c r="A83" s="2" t="s">
        <v>18</v>
      </c>
      <c r="B83" s="2" t="s">
        <v>11</v>
      </c>
      <c r="C83" s="2" t="s">
        <v>14</v>
      </c>
      <c r="D83" s="11" t="s">
        <v>0</v>
      </c>
      <c r="E83" s="52">
        <f>Population!D77*E39/100</f>
        <v>19517.48</v>
      </c>
      <c r="F83" s="52">
        <f>Population!E77*F39/100</f>
        <v>17503.830000000002</v>
      </c>
      <c r="G83" s="52">
        <f>Population!F77*G39/100</f>
        <v>16305.88</v>
      </c>
      <c r="H83" s="52">
        <f>Population!G77*H39/100</f>
        <v>16843.759999999998</v>
      </c>
      <c r="I83" s="52">
        <f>Population!H77*I39/100</f>
        <v>16954.898999999998</v>
      </c>
      <c r="J83" s="52">
        <f>Population!I77*J39/100</f>
        <v>18451.721999999998</v>
      </c>
      <c r="K83" s="52">
        <f>Population!J77*K39/100</f>
        <v>20674.89</v>
      </c>
      <c r="L83" s="52">
        <f>Population!K77*L39/100</f>
        <v>19121.817000000003</v>
      </c>
      <c r="M83" s="52">
        <f>Population!L77*M39/100</f>
        <v>20596.566999999999</v>
      </c>
      <c r="N83" s="52">
        <f>Population!M77*N39/100</f>
        <v>19401.243999999999</v>
      </c>
      <c r="O83" s="52">
        <f>Population!N77*O39/100</f>
        <v>20160.7</v>
      </c>
      <c r="P83" s="52">
        <f>Population!O77*P39/100</f>
        <v>18961.407000000003</v>
      </c>
      <c r="Q83" s="52">
        <f>Population!P77*Q39/100</f>
        <v>18725.794999999998</v>
      </c>
      <c r="R83" s="52">
        <f>Population!Q77*R39/100</f>
        <v>17955.871999999999</v>
      </c>
      <c r="S83" s="52">
        <f>Population!R77*S39/100</f>
        <v>16053.632</v>
      </c>
      <c r="T83" s="52">
        <f>Population!S77*T39/100</f>
        <v>17488.856</v>
      </c>
      <c r="U83" s="52">
        <f>Population!T77*U39/100</f>
        <v>15528.72</v>
      </c>
      <c r="V83" s="52">
        <f>Population!U77*V39/100</f>
        <v>19834.98</v>
      </c>
      <c r="W83" s="52">
        <f>_xlfn.FORECAST.LINEAR(W$1,$E83:V83,$E$1:V$1)</f>
        <v>18207.884947712417</v>
      </c>
      <c r="X83" s="52">
        <f>_xlfn.FORECAST.LINEAR(X$1,$E83:W83,$E$1:W$1)</f>
        <v>18194.200024079801</v>
      </c>
      <c r="Y83" s="52">
        <f>_xlfn.FORECAST.LINEAR(Y$1,$E83:X83,$E$1:X$1)</f>
        <v>18180.515100447199</v>
      </c>
      <c r="Z83" s="52">
        <f>_xlfn.FORECAST.LINEAR(Z$1,$E83:Y83,$E$1:Y$1)</f>
        <v>18166.830176814579</v>
      </c>
      <c r="AA83" s="52">
        <f>_xlfn.FORECAST.LINEAR(AA$1,$E83:Z83,$E$1:Z$1)</f>
        <v>18153.145253181974</v>
      </c>
      <c r="AB83" s="52">
        <f>_xlfn.FORECAST.LINEAR(AB$1,$E83:AA83,$E$1:AA$1)</f>
        <v>18139.460329549365</v>
      </c>
      <c r="AC83" s="52">
        <f>_xlfn.FORECAST.LINEAR(AC$1,$E83:AB83,$E$1:AB$1)</f>
        <v>18125.775405916749</v>
      </c>
      <c r="AD83" s="52">
        <f>_xlfn.FORECAST.LINEAR(AD$1,$E83:AC83,$E$1:AC$1)</f>
        <v>18112.090482284137</v>
      </c>
      <c r="AE83" s="52">
        <f>_xlfn.FORECAST.LINEAR(AE$1,$E83:AD83,$E$1:AD$1)</f>
        <v>18098.405558651521</v>
      </c>
      <c r="AF83" s="52">
        <f>_xlfn.FORECAST.LINEAR(AF$1,$E83:AE83,$E$1:AE$1)</f>
        <v>18084.720635018915</v>
      </c>
      <c r="AG83" s="52">
        <f>_xlfn.FORECAST.LINEAR(AG$1,$E83:AF83,$E$1:AF$1)</f>
        <v>18071.035711386307</v>
      </c>
    </row>
    <row r="84" spans="1:33" ht="15" customHeight="1" x14ac:dyDescent="0.25">
      <c r="D84" s="11" t="s">
        <v>1</v>
      </c>
      <c r="E84" s="52">
        <f>Population!D78*E40/100</f>
        <v>26162.1</v>
      </c>
      <c r="F84" s="52">
        <f>Population!E78*F40/100</f>
        <v>27733.217999999997</v>
      </c>
      <c r="G84" s="52">
        <f>Population!F78*G40/100</f>
        <v>27309.755000000001</v>
      </c>
      <c r="H84" s="52">
        <f>Population!G78*H40/100</f>
        <v>29291.979000000003</v>
      </c>
      <c r="I84" s="52">
        <f>Population!H78*I40/100</f>
        <v>26585.042000000001</v>
      </c>
      <c r="J84" s="52">
        <f>Population!I78*J40/100</f>
        <v>31664.49</v>
      </c>
      <c r="K84" s="52">
        <f>Population!J78*K40/100</f>
        <v>32902.851999999999</v>
      </c>
      <c r="L84" s="52">
        <f>Population!K78*L40/100</f>
        <v>33934.35</v>
      </c>
      <c r="M84" s="52">
        <f>Population!L78*M40/100</f>
        <v>34093.752</v>
      </c>
      <c r="N84" s="52">
        <f>Population!M78*N40/100</f>
        <v>35102.341999999997</v>
      </c>
      <c r="O84" s="52">
        <f>Population!N78*O40/100</f>
        <v>34897.337999999996</v>
      </c>
      <c r="P84" s="52">
        <f>Population!O78*P40/100</f>
        <v>30964.164000000001</v>
      </c>
      <c r="Q84" s="52">
        <f>Population!P78*Q40/100</f>
        <v>34711.763000000006</v>
      </c>
      <c r="R84" s="52">
        <f>Population!Q78*R40/100</f>
        <v>32017.648000000001</v>
      </c>
      <c r="S84" s="52">
        <f>Population!R78*S40/100</f>
        <v>32845.175999999999</v>
      </c>
      <c r="T84" s="52">
        <f>Population!S78*T40/100</f>
        <v>30112.720000000001</v>
      </c>
      <c r="U84" s="52">
        <f>Population!T78*U40/100</f>
        <v>32500.57</v>
      </c>
      <c r="V84" s="52">
        <f>Population!U78*V40/100</f>
        <v>29479.835999999999</v>
      </c>
      <c r="W84" s="52">
        <f>_xlfn.FORECAST.LINEAR(W$1,$E84:V84,$E$1:V$1)</f>
        <v>33865.511647058884</v>
      </c>
      <c r="X84" s="52">
        <f>_xlfn.FORECAST.LINEAR(X$1,$E84:W84,$E$1:W$1)</f>
        <v>34141.945066047483</v>
      </c>
      <c r="Y84" s="52">
        <f>_xlfn.FORECAST.LINEAR(Y$1,$E84:X84,$E$1:X$1)</f>
        <v>34418.378485035966</v>
      </c>
      <c r="Z84" s="52">
        <f>_xlfn.FORECAST.LINEAR(Z$1,$E84:Y84,$E$1:Y$1)</f>
        <v>34694.811904024682</v>
      </c>
      <c r="AA84" s="52">
        <f>_xlfn.FORECAST.LINEAR(AA$1,$E84:Z84,$E$1:Z$1)</f>
        <v>34971.245323013398</v>
      </c>
      <c r="AB84" s="52">
        <f>_xlfn.FORECAST.LINEAR(AB$1,$E84:AA84,$E$1:AA$1)</f>
        <v>35247.678742001997</v>
      </c>
      <c r="AC84" s="52">
        <f>_xlfn.FORECAST.LINEAR(AC$1,$E84:AB84,$E$1:AB$1)</f>
        <v>35524.112160990713</v>
      </c>
      <c r="AD84" s="52">
        <f>_xlfn.FORECAST.LINEAR(AD$1,$E84:AC84,$E$1:AC$1)</f>
        <v>35800.545579979313</v>
      </c>
      <c r="AE84" s="52">
        <f>_xlfn.FORECAST.LINEAR(AE$1,$E84:AD84,$E$1:AD$1)</f>
        <v>36076.978998968028</v>
      </c>
      <c r="AF84" s="52">
        <f>_xlfn.FORECAST.LINEAR(AF$1,$E84:AE84,$E$1:AE$1)</f>
        <v>36353.412417956628</v>
      </c>
      <c r="AG84" s="52">
        <f>_xlfn.FORECAST.LINEAR(AG$1,$E84:AF84,$E$1:AF$1)</f>
        <v>36629.845836945227</v>
      </c>
    </row>
    <row r="85" spans="1:33" ht="15" customHeight="1" x14ac:dyDescent="0.25">
      <c r="D85" s="11" t="s">
        <v>2</v>
      </c>
      <c r="E85" s="52">
        <f>Population!D79*E41/100</f>
        <v>41597.759000000005</v>
      </c>
      <c r="F85" s="52">
        <f>Population!E79*F41/100</f>
        <v>39282.348000000005</v>
      </c>
      <c r="G85" s="52">
        <f>Population!F79*G41/100</f>
        <v>38247.627</v>
      </c>
      <c r="H85" s="52">
        <f>Population!G79*H41/100</f>
        <v>39959.877999999997</v>
      </c>
      <c r="I85" s="52">
        <f>Population!H79*I41/100</f>
        <v>44696.037000000004</v>
      </c>
      <c r="J85" s="52">
        <f>Population!I79*J41/100</f>
        <v>43534.788</v>
      </c>
      <c r="K85" s="52">
        <f>Population!J79*K41/100</f>
        <v>42126.182999999997</v>
      </c>
      <c r="L85" s="52">
        <f>Population!K79*L41/100</f>
        <v>49516.39</v>
      </c>
      <c r="M85" s="52">
        <f>Population!L79*M41/100</f>
        <v>43956.321000000004</v>
      </c>
      <c r="N85" s="52">
        <f>Population!M79*N41/100</f>
        <v>43525.937000000005</v>
      </c>
      <c r="O85" s="52">
        <f>Population!N79*O41/100</f>
        <v>44095.095000000001</v>
      </c>
      <c r="P85" s="52">
        <f>Population!O79*P41/100</f>
        <v>44292.288</v>
      </c>
      <c r="Q85" s="52">
        <f>Population!P79*Q41/100</f>
        <v>42254.687999999995</v>
      </c>
      <c r="R85" s="52">
        <f>Population!Q79*R41/100</f>
        <v>39778.962</v>
      </c>
      <c r="S85" s="52">
        <f>Population!R79*S41/100</f>
        <v>38564.480000000003</v>
      </c>
      <c r="T85" s="52">
        <f>Population!S79*T41/100</f>
        <v>37050.58</v>
      </c>
      <c r="U85" s="52">
        <f>Population!T79*U41/100</f>
        <v>31075.1</v>
      </c>
      <c r="V85" s="52">
        <f>Population!U79*V41/100</f>
        <v>31586.85</v>
      </c>
      <c r="W85" s="52">
        <f>_xlfn.FORECAST.LINEAR(W$1,$E85:V85,$E$1:V$1)</f>
        <v>37083.504718954209</v>
      </c>
      <c r="X85" s="52">
        <f>_xlfn.FORECAST.LINEAR(X$1,$E85:W85,$E$1:W$1)</f>
        <v>36687.959537323681</v>
      </c>
      <c r="Y85" s="52">
        <f>_xlfn.FORECAST.LINEAR(Y$1,$E85:X85,$E$1:X$1)</f>
        <v>36292.414355693036</v>
      </c>
      <c r="Z85" s="52">
        <f>_xlfn.FORECAST.LINEAR(Z$1,$E85:Y85,$E$1:Y$1)</f>
        <v>35896.869174062507</v>
      </c>
      <c r="AA85" s="52">
        <f>_xlfn.FORECAST.LINEAR(AA$1,$E85:Z85,$E$1:Z$1)</f>
        <v>35501.323992431979</v>
      </c>
      <c r="AB85" s="52">
        <f>_xlfn.FORECAST.LINEAR(AB$1,$E85:AA85,$E$1:AA$1)</f>
        <v>35105.77881080145</v>
      </c>
      <c r="AC85" s="52">
        <f>_xlfn.FORECAST.LINEAR(AC$1,$E85:AB85,$E$1:AB$1)</f>
        <v>34710.233629170922</v>
      </c>
      <c r="AD85" s="52">
        <f>_xlfn.FORECAST.LINEAR(AD$1,$E85:AC85,$E$1:AC$1)</f>
        <v>34314.688447540393</v>
      </c>
      <c r="AE85" s="52">
        <f>_xlfn.FORECAST.LINEAR(AE$1,$E85:AD85,$E$1:AD$1)</f>
        <v>33919.143265909865</v>
      </c>
      <c r="AF85" s="52">
        <f>_xlfn.FORECAST.LINEAR(AF$1,$E85:AE85,$E$1:AE$1)</f>
        <v>33523.59808427922</v>
      </c>
      <c r="AG85" s="52">
        <f>_xlfn.FORECAST.LINEAR(AG$1,$E85:AF85,$E$1:AF$1)</f>
        <v>33128.052902648691</v>
      </c>
    </row>
    <row r="86" spans="1:33" ht="15" customHeight="1" x14ac:dyDescent="0.25">
      <c r="A86" s="2" t="s">
        <v>18</v>
      </c>
      <c r="B86" s="2" t="s">
        <v>13</v>
      </c>
      <c r="C86" s="2" t="s">
        <v>14</v>
      </c>
      <c r="D86" s="11" t="s">
        <v>0</v>
      </c>
      <c r="E86" s="52">
        <f>Population!D80*E45/100</f>
        <v>50323.56</v>
      </c>
      <c r="F86" s="52">
        <f>Population!E80*F45/100</f>
        <v>46664</v>
      </c>
      <c r="G86" s="52">
        <f>Population!F80*G45/100</f>
        <v>45653.16</v>
      </c>
      <c r="H86" s="52">
        <f>Population!G80*H45/100</f>
        <v>46424.76</v>
      </c>
      <c r="I86" s="52">
        <f>Population!H80*I45/100</f>
        <v>47037.024000000005</v>
      </c>
      <c r="J86" s="52">
        <f>Population!I80*J45/100</f>
        <v>48113.245000000003</v>
      </c>
      <c r="K86" s="52">
        <f>Population!J80*K45/100</f>
        <v>49098.456000000006</v>
      </c>
      <c r="L86" s="52">
        <f>Population!K80*L45/100</f>
        <v>52033.87</v>
      </c>
      <c r="M86" s="52">
        <f>Population!L80*M45/100</f>
        <v>46803.184999999998</v>
      </c>
      <c r="N86" s="52">
        <f>Population!M80*N45/100</f>
        <v>50472.75</v>
      </c>
      <c r="O86" s="52">
        <f>Population!N80*O45/100</f>
        <v>49016.22</v>
      </c>
      <c r="P86" s="52">
        <f>Population!O80*P45/100</f>
        <v>44798.523999999998</v>
      </c>
      <c r="Q86" s="52">
        <f>Population!P80*Q45/100</f>
        <v>43782.9</v>
      </c>
      <c r="R86" s="52">
        <f>Population!Q80*R45/100</f>
        <v>41698.991999999998</v>
      </c>
      <c r="S86" s="52">
        <f>Population!R80*S45/100</f>
        <v>40314.959999999999</v>
      </c>
      <c r="T86" s="52">
        <f>Population!S80*T45/100</f>
        <v>40143.39</v>
      </c>
      <c r="U86" s="52">
        <f>Population!T80*U45/100</f>
        <v>40978.97</v>
      </c>
      <c r="V86" s="52">
        <f>Population!U80*V45/100</f>
        <v>40104.306000000004</v>
      </c>
      <c r="W86" s="52">
        <f>_xlfn.FORECAST.LINEAR(W$1,$E86:V86,$E$1:V$1)</f>
        <v>40815.792960784165</v>
      </c>
      <c r="X86" s="52">
        <f>_xlfn.FORECAST.LINEAR(X$1,$E86:W86,$E$1:W$1)</f>
        <v>40296.623377708951</v>
      </c>
      <c r="Y86" s="52">
        <f>_xlfn.FORECAST.LINEAR(Y$1,$E86:X86,$E$1:X$1)</f>
        <v>39777.453794633737</v>
      </c>
      <c r="Z86" s="52">
        <f>_xlfn.FORECAST.LINEAR(Z$1,$E86:Y86,$E$1:Y$1)</f>
        <v>39258.28421155829</v>
      </c>
      <c r="AA86" s="52">
        <f>_xlfn.FORECAST.LINEAR(AA$1,$E86:Z86,$E$1:Z$1)</f>
        <v>38739.114628482843</v>
      </c>
      <c r="AB86" s="52">
        <f>_xlfn.FORECAST.LINEAR(AB$1,$E86:AA86,$E$1:AA$1)</f>
        <v>38219.945045407629</v>
      </c>
      <c r="AC86" s="52">
        <f>_xlfn.FORECAST.LINEAR(AC$1,$E86:AB86,$E$1:AB$1)</f>
        <v>37700.775462332182</v>
      </c>
      <c r="AD86" s="52">
        <f>_xlfn.FORECAST.LINEAR(AD$1,$E86:AC86,$E$1:AC$1)</f>
        <v>37181.605879256967</v>
      </c>
      <c r="AE86" s="52">
        <f>_xlfn.FORECAST.LINEAR(AE$1,$E86:AD86,$E$1:AD$1)</f>
        <v>36662.436296181288</v>
      </c>
      <c r="AF86" s="52">
        <f>_xlfn.FORECAST.LINEAR(AF$1,$E86:AE86,$E$1:AE$1)</f>
        <v>36143.266713106073</v>
      </c>
      <c r="AG86" s="52">
        <f>_xlfn.FORECAST.LINEAR(AG$1,$E86:AF86,$E$1:AF$1)</f>
        <v>35624.097130031092</v>
      </c>
    </row>
    <row r="87" spans="1:33" ht="15" customHeight="1" x14ac:dyDescent="0.25">
      <c r="D87" s="11" t="s">
        <v>1</v>
      </c>
      <c r="E87" s="52">
        <f>Population!D81*E46/100</f>
        <v>78214.415999999997</v>
      </c>
      <c r="F87" s="52">
        <f>Population!E81*F46/100</f>
        <v>72621.468999999997</v>
      </c>
      <c r="G87" s="52">
        <f>Population!F81*G46/100</f>
        <v>73745.100000000006</v>
      </c>
      <c r="H87" s="52">
        <f>Population!G81*H46/100</f>
        <v>75549.519</v>
      </c>
      <c r="I87" s="52">
        <f>Population!H81*I46/100</f>
        <v>70556.023000000001</v>
      </c>
      <c r="J87" s="52">
        <f>Population!I81*J46/100</f>
        <v>79156.134000000005</v>
      </c>
      <c r="K87" s="52">
        <f>Population!J81*K46/100</f>
        <v>81103.106999999989</v>
      </c>
      <c r="L87" s="52">
        <f>Population!K81*L46/100</f>
        <v>84395.927000000011</v>
      </c>
      <c r="M87" s="52">
        <f>Population!L81*M46/100</f>
        <v>83336.789999999994</v>
      </c>
      <c r="N87" s="52">
        <f>Population!M81*N46/100</f>
        <v>87531.991999999998</v>
      </c>
      <c r="O87" s="52">
        <f>Population!N81*O46/100</f>
        <v>84085.911000000022</v>
      </c>
      <c r="P87" s="52">
        <f>Population!O81*P46/100</f>
        <v>84220.95</v>
      </c>
      <c r="Q87" s="52">
        <f>Population!P81*Q46/100</f>
        <v>86358.720000000001</v>
      </c>
      <c r="R87" s="52">
        <f>Population!Q81*R46/100</f>
        <v>79716.623999999996</v>
      </c>
      <c r="S87" s="52">
        <f>Population!R81*S46/100</f>
        <v>82193.423999999999</v>
      </c>
      <c r="T87" s="52">
        <f>Population!S81*T46/100</f>
        <v>76626.967999999993</v>
      </c>
      <c r="U87" s="52">
        <f>Population!T81*U46/100</f>
        <v>79431.044999999998</v>
      </c>
      <c r="V87" s="52">
        <f>Population!U81*V46/100</f>
        <v>69760.834000000003</v>
      </c>
      <c r="W87" s="52">
        <f>_xlfn.FORECAST.LINEAR(W$1,$E87:V87,$E$1:V$1)</f>
        <v>81530.646392156894</v>
      </c>
      <c r="X87" s="52">
        <f>_xlfn.FORECAST.LINEAR(X$1,$E87:W87,$E$1:W$1)</f>
        <v>81758.404766769905</v>
      </c>
      <c r="Y87" s="52">
        <f>_xlfn.FORECAST.LINEAR(Y$1,$E87:X87,$E$1:X$1)</f>
        <v>81986.163141382858</v>
      </c>
      <c r="Z87" s="52">
        <f>_xlfn.FORECAST.LINEAR(Z$1,$E87:Y87,$E$1:Y$1)</f>
        <v>82213.921515995811</v>
      </c>
      <c r="AA87" s="52">
        <f>_xlfn.FORECAST.LINEAR(AA$1,$E87:Z87,$E$1:Z$1)</f>
        <v>82441.679890608939</v>
      </c>
      <c r="AB87" s="52">
        <f>_xlfn.FORECAST.LINEAR(AB$1,$E87:AA87,$E$1:AA$1)</f>
        <v>82669.438265221892</v>
      </c>
      <c r="AC87" s="52">
        <f>_xlfn.FORECAST.LINEAR(AC$1,$E87:AB87,$E$1:AB$1)</f>
        <v>82897.196639834845</v>
      </c>
      <c r="AD87" s="52">
        <f>_xlfn.FORECAST.LINEAR(AD$1,$E87:AC87,$E$1:AC$1)</f>
        <v>83124.955014447856</v>
      </c>
      <c r="AE87" s="52">
        <f>_xlfn.FORECAST.LINEAR(AE$1,$E87:AD87,$E$1:AD$1)</f>
        <v>83352.713389060867</v>
      </c>
      <c r="AF87" s="52">
        <f>_xlfn.FORECAST.LINEAR(AF$1,$E87:AE87,$E$1:AE$1)</f>
        <v>83580.471763673879</v>
      </c>
      <c r="AG87" s="52">
        <f>_xlfn.FORECAST.LINEAR(AG$1,$E87:AF87,$E$1:AF$1)</f>
        <v>83808.23013828689</v>
      </c>
    </row>
    <row r="88" spans="1:33" ht="15" customHeight="1" x14ac:dyDescent="0.25">
      <c r="D88" s="11" t="s">
        <v>2</v>
      </c>
      <c r="E88" s="52">
        <f>Population!D82*E47/100</f>
        <v>100006.56</v>
      </c>
      <c r="F88" s="52">
        <f>Population!E82*F47/100</f>
        <v>96310.755000000005</v>
      </c>
      <c r="G88" s="52">
        <f>Population!F82*G47/100</f>
        <v>96520.494000000006</v>
      </c>
      <c r="H88" s="52">
        <f>Population!G82*H47/100</f>
        <v>98478.846999999994</v>
      </c>
      <c r="I88" s="52">
        <f>Population!H82*I47/100</f>
        <v>102672.65400000001</v>
      </c>
      <c r="J88" s="52">
        <f>Population!I82*J47/100</f>
        <v>109317.625</v>
      </c>
      <c r="K88" s="52">
        <f>Population!J82*K47/100</f>
        <v>109944.16499999999</v>
      </c>
      <c r="L88" s="52">
        <f>Population!K82*L47/100</f>
        <v>114261.516</v>
      </c>
      <c r="M88" s="52">
        <f>Population!L82*M47/100</f>
        <v>112710.13600000001</v>
      </c>
      <c r="N88" s="52">
        <f>Population!M82*N47/100</f>
        <v>109801.755</v>
      </c>
      <c r="O88" s="52">
        <f>Population!N82*O47/100</f>
        <v>102233.868</v>
      </c>
      <c r="P88" s="52">
        <f>Population!O82*P47/100</f>
        <v>103758.52499999999</v>
      </c>
      <c r="Q88" s="52">
        <f>Population!P82*Q47/100</f>
        <v>107258.63499999999</v>
      </c>
      <c r="R88" s="52">
        <f>Population!Q82*R47/100</f>
        <v>96963.156000000003</v>
      </c>
      <c r="S88" s="52">
        <f>Population!R82*S47/100</f>
        <v>90473.71</v>
      </c>
      <c r="T88" s="52">
        <f>Population!S82*T47/100</f>
        <v>96396.255999999994</v>
      </c>
      <c r="U88" s="52">
        <f>Population!T82*U47/100</f>
        <v>81867.78899999999</v>
      </c>
      <c r="V88" s="52">
        <f>Population!U82*V47/100</f>
        <v>79090.8</v>
      </c>
      <c r="W88" s="52">
        <f>_xlfn.FORECAST.LINEAR(W$1,$E88:V88,$E$1:V$1)</f>
        <v>92628.553392156959</v>
      </c>
      <c r="X88" s="52">
        <f>_xlfn.FORECAST.LINEAR(X$1,$E88:W88,$E$1:W$1)</f>
        <v>91805.434766769875</v>
      </c>
      <c r="Y88" s="52">
        <f>_xlfn.FORECAST.LINEAR(Y$1,$E88:X88,$E$1:X$1)</f>
        <v>90982.316141382791</v>
      </c>
      <c r="Z88" s="52">
        <f>_xlfn.FORECAST.LINEAR(Z$1,$E88:Y88,$E$1:Y$1)</f>
        <v>90159.19751599594</v>
      </c>
      <c r="AA88" s="52">
        <f>_xlfn.FORECAST.LINEAR(AA$1,$E88:Z88,$E$1:Z$1)</f>
        <v>89336.078890608856</v>
      </c>
      <c r="AB88" s="52">
        <f>_xlfn.FORECAST.LINEAR(AB$1,$E88:AA88,$E$1:AA$1)</f>
        <v>88512.960265222006</v>
      </c>
      <c r="AC88" s="52">
        <f>_xlfn.FORECAST.LINEAR(AC$1,$E88:AB88,$E$1:AB$1)</f>
        <v>87689.841639834922</v>
      </c>
      <c r="AD88" s="52">
        <f>_xlfn.FORECAST.LINEAR(AD$1,$E88:AC88,$E$1:AC$1)</f>
        <v>86866.723014447838</v>
      </c>
      <c r="AE88" s="52">
        <f>_xlfn.FORECAST.LINEAR(AE$1,$E88:AD88,$E$1:AD$1)</f>
        <v>86043.604389060987</v>
      </c>
      <c r="AF88" s="52">
        <f>_xlfn.FORECAST.LINEAR(AF$1,$E88:AE88,$E$1:AE$1)</f>
        <v>85220.485763673903</v>
      </c>
      <c r="AG88" s="52">
        <f>_xlfn.FORECAST.LINEAR(AG$1,$E88:AF88,$E$1:AF$1)</f>
        <v>84397.36713828682</v>
      </c>
    </row>
    <row r="89" spans="1:33" ht="15" customHeight="1" x14ac:dyDescent="0.25">
      <c r="A89" s="2" t="s">
        <v>19</v>
      </c>
      <c r="B89" s="2" t="s">
        <v>11</v>
      </c>
      <c r="C89" s="2" t="s">
        <v>14</v>
      </c>
      <c r="D89" s="11" t="s">
        <v>0</v>
      </c>
      <c r="E89" s="52">
        <f>Population!D83*E51/100</f>
        <v>2850.12</v>
      </c>
      <c r="F89" s="52">
        <f>Population!E83*F51/100</f>
        <v>2969.08</v>
      </c>
      <c r="G89" s="52">
        <f>Population!F83*G51/100</f>
        <v>3041.5</v>
      </c>
      <c r="H89" s="52">
        <f>Population!G83*H51/100</f>
        <v>3450.16</v>
      </c>
      <c r="I89" s="52">
        <f>Population!H83*I51/100</f>
        <v>3614.56</v>
      </c>
      <c r="J89" s="52">
        <f>Population!I83*J51/100</f>
        <v>4440.9740000000002</v>
      </c>
      <c r="K89" s="52">
        <f>Population!J83*K51/100</f>
        <v>5240.9280000000008</v>
      </c>
      <c r="L89" s="52">
        <f>Population!K83*L51/100</f>
        <v>4611.68</v>
      </c>
      <c r="M89" s="52">
        <f>Population!L83*M51/100</f>
        <v>5413.6920000000009</v>
      </c>
      <c r="N89" s="52">
        <f>Population!M83*N51/100</f>
        <v>5605.7759999999998</v>
      </c>
      <c r="O89" s="52">
        <f>Population!N83*O51/100</f>
        <v>6435.741</v>
      </c>
      <c r="P89" s="52">
        <f>Population!O83*P51/100</f>
        <v>5221.2</v>
      </c>
      <c r="Q89" s="52">
        <f>Population!P83*Q51/100</f>
        <v>5419.8720000000003</v>
      </c>
      <c r="R89" s="52">
        <f>Population!Q83*R51/100</f>
        <v>5528.8850000000002</v>
      </c>
      <c r="S89" s="52">
        <f>Population!R83*S51/100</f>
        <v>5274.7889999999989</v>
      </c>
      <c r="T89" s="52">
        <f>Population!S83*T51/100</f>
        <v>5824.4620000000004</v>
      </c>
      <c r="U89" s="52">
        <f>Population!T83*U51/100</f>
        <v>6495.1129999999994</v>
      </c>
      <c r="V89" s="52">
        <f>Population!U83*V51/100</f>
        <v>6990</v>
      </c>
      <c r="W89" s="52">
        <f>_xlfn.FORECAST.LINEAR(W$1,$E89:V89,$E$1:V$1)</f>
        <v>6963.3307124183048</v>
      </c>
      <c r="X89" s="52">
        <f>_xlfn.FORECAST.LINEAR(X$1,$E89:W89,$E$1:W$1)</f>
        <v>7179.1869745441945</v>
      </c>
      <c r="Y89" s="52">
        <f>_xlfn.FORECAST.LINEAR(Y$1,$E89:X89,$E$1:X$1)</f>
        <v>7395.0432366700843</v>
      </c>
      <c r="Z89" s="52">
        <f>_xlfn.FORECAST.LINEAR(Z$1,$E89:Y89,$E$1:Y$1)</f>
        <v>7610.8994987960323</v>
      </c>
      <c r="AA89" s="52">
        <f>_xlfn.FORECAST.LINEAR(AA$1,$E89:Z89,$E$1:Z$1)</f>
        <v>7826.755760921922</v>
      </c>
      <c r="AB89" s="52">
        <f>_xlfn.FORECAST.LINEAR(AB$1,$E89:AA89,$E$1:AA$1)</f>
        <v>8042.6120230478118</v>
      </c>
      <c r="AC89" s="52">
        <f>_xlfn.FORECAST.LINEAR(AC$1,$E89:AB89,$E$1:AB$1)</f>
        <v>8258.4682851736434</v>
      </c>
      <c r="AD89" s="52">
        <f>_xlfn.FORECAST.LINEAR(AD$1,$E89:AC89,$E$1:AC$1)</f>
        <v>8474.3245472996496</v>
      </c>
      <c r="AE89" s="52">
        <f>_xlfn.FORECAST.LINEAR(AE$1,$E89:AD89,$E$1:AD$1)</f>
        <v>8690.1808094255393</v>
      </c>
      <c r="AF89" s="52">
        <f>_xlfn.FORECAST.LINEAR(AF$1,$E89:AE89,$E$1:AE$1)</f>
        <v>8906.0370715514291</v>
      </c>
      <c r="AG89" s="52">
        <f>_xlfn.FORECAST.LINEAR(AG$1,$E89:AF89,$E$1:AF$1)</f>
        <v>9121.8933336773189</v>
      </c>
    </row>
    <row r="90" spans="1:33" ht="15" customHeight="1" x14ac:dyDescent="0.25">
      <c r="D90" s="11" t="s">
        <v>1</v>
      </c>
      <c r="E90" s="52">
        <f>Population!D84*E52/100</f>
        <v>4556.085</v>
      </c>
      <c r="F90" s="52">
        <f>Population!E84*F52/100</f>
        <v>3936.0120000000002</v>
      </c>
      <c r="G90" s="52">
        <f>Population!F84*G52/100</f>
        <v>4730.924</v>
      </c>
      <c r="H90" s="52">
        <f>Population!G84*H52/100</f>
        <v>4297.5660000000007</v>
      </c>
      <c r="I90" s="52">
        <f>Population!H84*I52/100</f>
        <v>4696.2180000000008</v>
      </c>
      <c r="J90" s="52">
        <f>Population!I84*J52/100</f>
        <v>6207.5590000000002</v>
      </c>
      <c r="K90" s="52">
        <f>Population!J84*K52/100</f>
        <v>7119</v>
      </c>
      <c r="L90" s="52">
        <f>Population!K84*L52/100</f>
        <v>7552.8129999999992</v>
      </c>
      <c r="M90" s="52">
        <f>Population!L84*M52/100</f>
        <v>8724.24</v>
      </c>
      <c r="N90" s="52">
        <f>Population!M84*N52/100</f>
        <v>8829.24</v>
      </c>
      <c r="O90" s="52">
        <f>Population!N84*O52/100</f>
        <v>8796.3790000000008</v>
      </c>
      <c r="P90" s="52">
        <f>Population!O84*P52/100</f>
        <v>8559.8220000000001</v>
      </c>
      <c r="Q90" s="52">
        <f>Population!P84*Q52/100</f>
        <v>8539.5450000000001</v>
      </c>
      <c r="R90" s="52">
        <f>Population!Q84*R52/100</f>
        <v>8782.652</v>
      </c>
      <c r="S90" s="52">
        <f>Population!R84*S52/100</f>
        <v>10320.379999999999</v>
      </c>
      <c r="T90" s="52">
        <f>Population!S84*T52/100</f>
        <v>9944.4159999999993</v>
      </c>
      <c r="U90" s="52">
        <f>Population!T84*U52/100</f>
        <v>10708.02</v>
      </c>
      <c r="V90" s="52">
        <f>Population!U84*V52/100</f>
        <v>10223.64</v>
      </c>
      <c r="W90" s="52">
        <f>_xlfn.FORECAST.LINEAR(W$1,$E90:V90,$E$1:V$1)</f>
        <v>11467.994281045743</v>
      </c>
      <c r="X90" s="52">
        <f>_xlfn.FORECAST.LINEAR(X$1,$E90:W90,$E$1:W$1)</f>
        <v>11876.762620571069</v>
      </c>
      <c r="Y90" s="52">
        <f>_xlfn.FORECAST.LINEAR(Y$1,$E90:X90,$E$1:X$1)</f>
        <v>12285.530960096279</v>
      </c>
      <c r="Z90" s="52">
        <f>_xlfn.FORECAST.LINEAR(Z$1,$E90:Y90,$E$1:Y$1)</f>
        <v>12694.299299621605</v>
      </c>
      <c r="AA90" s="52">
        <f>_xlfn.FORECAST.LINEAR(AA$1,$E90:Z90,$E$1:Z$1)</f>
        <v>13103.067639146931</v>
      </c>
      <c r="AB90" s="52">
        <f>_xlfn.FORECAST.LINEAR(AB$1,$E90:AA90,$E$1:AA$1)</f>
        <v>13511.835978672258</v>
      </c>
      <c r="AC90" s="52">
        <f>_xlfn.FORECAST.LINEAR(AC$1,$E90:AB90,$E$1:AB$1)</f>
        <v>13920.604318197467</v>
      </c>
      <c r="AD90" s="52">
        <f>_xlfn.FORECAST.LINEAR(AD$1,$E90:AC90,$E$1:AC$1)</f>
        <v>14329.372657722677</v>
      </c>
      <c r="AE90" s="52">
        <f>_xlfn.FORECAST.LINEAR(AE$1,$E90:AD90,$E$1:AD$1)</f>
        <v>14738.14099724812</v>
      </c>
      <c r="AF90" s="52">
        <f>_xlfn.FORECAST.LINEAR(AF$1,$E90:AE90,$E$1:AE$1)</f>
        <v>15146.909336773329</v>
      </c>
      <c r="AG90" s="52">
        <f>_xlfn.FORECAST.LINEAR(AG$1,$E90:AF90,$E$1:AF$1)</f>
        <v>15555.677676298539</v>
      </c>
    </row>
    <row r="91" spans="1:33" ht="15" customHeight="1" x14ac:dyDescent="0.25">
      <c r="D91" s="11" t="s">
        <v>2</v>
      </c>
      <c r="E91" s="52">
        <f>Population!D85*E53/100</f>
        <v>8556.24</v>
      </c>
      <c r="F91" s="52">
        <f>Population!E85*F53/100</f>
        <v>7949.95</v>
      </c>
      <c r="G91" s="52">
        <f>Population!F85*G53/100</f>
        <v>9114.7420000000002</v>
      </c>
      <c r="H91" s="52">
        <f>Population!G85*H53/100</f>
        <v>8810.9489999999987</v>
      </c>
      <c r="I91" s="52">
        <f>Population!H85*I53/100</f>
        <v>10411.453</v>
      </c>
      <c r="J91" s="52">
        <f>Population!I85*J53/100</f>
        <v>11030.688</v>
      </c>
      <c r="K91" s="52">
        <f>Population!J85*K53/100</f>
        <v>11245.128000000001</v>
      </c>
      <c r="L91" s="52">
        <f>Population!K85*L53/100</f>
        <v>12100.82</v>
      </c>
      <c r="M91" s="52">
        <f>Population!L85*M53/100</f>
        <v>14680.587</v>
      </c>
      <c r="N91" s="52">
        <f>Population!M85*N53/100</f>
        <v>13829.843999999999</v>
      </c>
      <c r="O91" s="52">
        <f>Population!N85*O53/100</f>
        <v>13052.38</v>
      </c>
      <c r="P91" s="52">
        <f>Population!O85*P53/100</f>
        <v>14374.371999999999</v>
      </c>
      <c r="Q91" s="52">
        <f>Population!P85*Q53/100</f>
        <v>14591.664000000001</v>
      </c>
      <c r="R91" s="52">
        <f>Population!Q85*R53/100</f>
        <v>14201.837</v>
      </c>
      <c r="S91" s="52">
        <f>Population!R85*S53/100</f>
        <v>13423.421999999999</v>
      </c>
      <c r="T91" s="52">
        <f>Population!S85*T53/100</f>
        <v>13712.931999999999</v>
      </c>
      <c r="U91" s="52">
        <f>Population!T85*U53/100</f>
        <v>11589.552</v>
      </c>
      <c r="V91" s="52">
        <f>Population!U85*V53/100</f>
        <v>13290.09</v>
      </c>
      <c r="W91" s="52">
        <f>_xlfn.FORECAST.LINEAR(W$1,$E91:V91,$E$1:V$1)</f>
        <v>15157.692300653551</v>
      </c>
      <c r="X91" s="52">
        <f>_xlfn.FORECAST.LINEAR(X$1,$E91:W91,$E$1:W$1)</f>
        <v>15490.275993120158</v>
      </c>
      <c r="Y91" s="52">
        <f>_xlfn.FORECAST.LINEAR(Y$1,$E91:X91,$E$1:X$1)</f>
        <v>15822.859685586533</v>
      </c>
      <c r="Z91" s="52">
        <f>_xlfn.FORECAST.LINEAR(Z$1,$E91:Y91,$E$1:Y$1)</f>
        <v>16155.443378053023</v>
      </c>
      <c r="AA91" s="52">
        <f>_xlfn.FORECAST.LINEAR(AA$1,$E91:Z91,$E$1:Z$1)</f>
        <v>16488.027070519514</v>
      </c>
      <c r="AB91" s="52">
        <f>_xlfn.FORECAST.LINEAR(AB$1,$E91:AA91,$E$1:AA$1)</f>
        <v>16820.610762985889</v>
      </c>
      <c r="AC91" s="52">
        <f>_xlfn.FORECAST.LINEAR(AC$1,$E91:AB91,$E$1:AB$1)</f>
        <v>17153.19445545238</v>
      </c>
      <c r="AD91" s="52">
        <f>_xlfn.FORECAST.LINEAR(AD$1,$E91:AC91,$E$1:AC$1)</f>
        <v>17485.778147918871</v>
      </c>
      <c r="AE91" s="52">
        <f>_xlfn.FORECAST.LINEAR(AE$1,$E91:AD91,$E$1:AD$1)</f>
        <v>17818.361840385245</v>
      </c>
      <c r="AF91" s="52">
        <f>_xlfn.FORECAST.LINEAR(AF$1,$E91:AE91,$E$1:AE$1)</f>
        <v>18150.945532851736</v>
      </c>
      <c r="AG91" s="52">
        <f>_xlfn.FORECAST.LINEAR(AG$1,$E91:AF91,$E$1:AF$1)</f>
        <v>18483.529225318227</v>
      </c>
    </row>
    <row r="92" spans="1:33" ht="15" customHeight="1" x14ac:dyDescent="0.25">
      <c r="A92" s="2" t="s">
        <v>19</v>
      </c>
      <c r="B92" s="2" t="s">
        <v>13</v>
      </c>
      <c r="C92" s="2" t="s">
        <v>14</v>
      </c>
      <c r="D92" s="11" t="s">
        <v>0</v>
      </c>
      <c r="E92" s="52">
        <f>Population!D86*E57/100</f>
        <v>13371.36</v>
      </c>
      <c r="F92" s="52">
        <f>Population!E86*F57/100</f>
        <v>13554.18</v>
      </c>
      <c r="G92" s="52">
        <f>Population!F86*G57/100</f>
        <v>14855.94</v>
      </c>
      <c r="H92" s="52">
        <f>Population!G86*H57/100</f>
        <v>15170.4</v>
      </c>
      <c r="I92" s="52">
        <f>Population!H86*I57/100</f>
        <v>17089.2</v>
      </c>
      <c r="J92" s="52">
        <f>Population!I86*J57/100</f>
        <v>18434.381999999998</v>
      </c>
      <c r="K92" s="52">
        <f>Population!J86*K57/100</f>
        <v>17770.566999999999</v>
      </c>
      <c r="L92" s="52">
        <f>Population!K86*L57/100</f>
        <v>19900.512000000002</v>
      </c>
      <c r="M92" s="52">
        <f>Population!L86*M57/100</f>
        <v>19912.506000000001</v>
      </c>
      <c r="N92" s="52">
        <f>Population!M86*N57/100</f>
        <v>22471.68</v>
      </c>
      <c r="O92" s="52">
        <f>Population!N86*O57/100</f>
        <v>22829.754000000004</v>
      </c>
      <c r="P92" s="52">
        <f>Population!O86*P57/100</f>
        <v>21683.567999999999</v>
      </c>
      <c r="Q92" s="52">
        <f>Population!P86*Q57/100</f>
        <v>22015.226999999999</v>
      </c>
      <c r="R92" s="52">
        <f>Population!Q86*R57/100</f>
        <v>21643.96</v>
      </c>
      <c r="S92" s="52">
        <f>Population!R86*S57/100</f>
        <v>22880.258999999998</v>
      </c>
      <c r="T92" s="52">
        <f>Population!S86*T57/100</f>
        <v>24837</v>
      </c>
      <c r="U92" s="52">
        <f>Population!T86*U57/100</f>
        <v>25709.628000000004</v>
      </c>
      <c r="V92" s="52">
        <f>Population!U86*V57/100</f>
        <v>25599.805</v>
      </c>
      <c r="W92" s="52">
        <f>_xlfn.FORECAST.LINEAR(W$1,$E92:V92,$E$1:V$1)</f>
        <v>26864.880058823619</v>
      </c>
      <c r="X92" s="52">
        <f>_xlfn.FORECAST.LINEAR(X$1,$E92:W92,$E$1:W$1)</f>
        <v>27589.078380804975</v>
      </c>
      <c r="Y92" s="52">
        <f>_xlfn.FORECAST.LINEAR(Y$1,$E92:X92,$E$1:X$1)</f>
        <v>28313.27670278633</v>
      </c>
      <c r="Z92" s="52">
        <f>_xlfn.FORECAST.LINEAR(Z$1,$E92:Y92,$E$1:Y$1)</f>
        <v>29037.475024767686</v>
      </c>
      <c r="AA92" s="52">
        <f>_xlfn.FORECAST.LINEAR(AA$1,$E92:Z92,$E$1:Z$1)</f>
        <v>29761.673346749274</v>
      </c>
      <c r="AB92" s="52">
        <f>_xlfn.FORECAST.LINEAR(AB$1,$E92:AA92,$E$1:AA$1)</f>
        <v>30485.871668730862</v>
      </c>
      <c r="AC92" s="52">
        <f>_xlfn.FORECAST.LINEAR(AC$1,$E92:AB92,$E$1:AB$1)</f>
        <v>31210.069990712218</v>
      </c>
      <c r="AD92" s="52">
        <f>_xlfn.FORECAST.LINEAR(AD$1,$E92:AC92,$E$1:AC$1)</f>
        <v>31934.268312693574</v>
      </c>
      <c r="AE92" s="52">
        <f>_xlfn.FORECAST.LINEAR(AE$1,$E92:AD92,$E$1:AD$1)</f>
        <v>32658.466634674929</v>
      </c>
      <c r="AF92" s="52">
        <f>_xlfn.FORECAST.LINEAR(AF$1,$E92:AE92,$E$1:AE$1)</f>
        <v>33382.664956656285</v>
      </c>
      <c r="AG92" s="52">
        <f>_xlfn.FORECAST.LINEAR(AG$1,$E92:AF92,$E$1:AF$1)</f>
        <v>34106.86327863764</v>
      </c>
    </row>
    <row r="93" spans="1:33" ht="15" customHeight="1" x14ac:dyDescent="0.25">
      <c r="D93" s="11" t="s">
        <v>1</v>
      </c>
      <c r="E93" s="52">
        <f>Population!D87*E58/100</f>
        <v>17717.751</v>
      </c>
      <c r="F93" s="52">
        <f>Population!E87*F58/100</f>
        <v>18984.144</v>
      </c>
      <c r="G93" s="52">
        <f>Population!F87*G58/100</f>
        <v>20701.655999999999</v>
      </c>
      <c r="H93" s="52">
        <f>Population!G87*H58/100</f>
        <v>23187.946999999996</v>
      </c>
      <c r="I93" s="52">
        <f>Population!H87*I58/100</f>
        <v>23369.31</v>
      </c>
      <c r="J93" s="52">
        <f>Population!I87*J58/100</f>
        <v>28073.892000000003</v>
      </c>
      <c r="K93" s="52">
        <f>Population!J87*K58/100</f>
        <v>29570.639999999999</v>
      </c>
      <c r="L93" s="52">
        <f>Population!K87*L58/100</f>
        <v>31459.05</v>
      </c>
      <c r="M93" s="52">
        <f>Population!L87*M58/100</f>
        <v>31044.757999999998</v>
      </c>
      <c r="N93" s="52">
        <f>Population!M87*N58/100</f>
        <v>31793.69</v>
      </c>
      <c r="O93" s="52">
        <f>Population!N87*O58/100</f>
        <v>32556.091999999997</v>
      </c>
      <c r="P93" s="52">
        <f>Population!O87*P58/100</f>
        <v>33754.42</v>
      </c>
      <c r="Q93" s="52">
        <f>Population!P87*Q58/100</f>
        <v>33805.4</v>
      </c>
      <c r="R93" s="52">
        <f>Population!Q87*R58/100</f>
        <v>33889.284</v>
      </c>
      <c r="S93" s="52">
        <f>Population!R87*S58/100</f>
        <v>36062.050000000003</v>
      </c>
      <c r="T93" s="52">
        <f>Population!S87*T58/100</f>
        <v>35361.976000000002</v>
      </c>
      <c r="U93" s="52">
        <f>Population!T87*U58/100</f>
        <v>36521.952000000005</v>
      </c>
      <c r="V93" s="52">
        <f>Population!U87*V58/100</f>
        <v>37242.877</v>
      </c>
      <c r="W93" s="52">
        <f>_xlfn.FORECAST.LINEAR(W$1,$E93:V93,$E$1:V$1)</f>
        <v>40384.005287581589</v>
      </c>
      <c r="X93" s="52">
        <f>_xlfn.FORECAST.LINEAR(X$1,$E93:W93,$E$1:W$1)</f>
        <v>41505.731639490929</v>
      </c>
      <c r="Y93" s="52">
        <f>_xlfn.FORECAST.LINEAR(Y$1,$E93:X93,$E$1:X$1)</f>
        <v>42627.457991400268</v>
      </c>
      <c r="Z93" s="52">
        <f>_xlfn.FORECAST.LINEAR(Z$1,$E93:Y93,$E$1:Y$1)</f>
        <v>43749.184343309142</v>
      </c>
      <c r="AA93" s="52">
        <f>_xlfn.FORECAST.LINEAR(AA$1,$E93:Z93,$E$1:Z$1)</f>
        <v>44870.910695218481</v>
      </c>
      <c r="AB93" s="52">
        <f>_xlfn.FORECAST.LINEAR(AB$1,$E93:AA93,$E$1:AA$1)</f>
        <v>45992.637047127821</v>
      </c>
      <c r="AC93" s="52">
        <f>_xlfn.FORECAST.LINEAR(AC$1,$E93:AB93,$E$1:AB$1)</f>
        <v>47114.363399036694</v>
      </c>
      <c r="AD93" s="52">
        <f>_xlfn.FORECAST.LINEAR(AD$1,$E93:AC93,$E$1:AC$1)</f>
        <v>48236.089750946034</v>
      </c>
      <c r="AE93" s="52">
        <f>_xlfn.FORECAST.LINEAR(AE$1,$E93:AD93,$E$1:AD$1)</f>
        <v>49357.816102855373</v>
      </c>
      <c r="AF93" s="52">
        <f>_xlfn.FORECAST.LINEAR(AF$1,$E93:AE93,$E$1:AE$1)</f>
        <v>50479.542454764247</v>
      </c>
      <c r="AG93" s="52">
        <f>_xlfn.FORECAST.LINEAR(AG$1,$E93:AF93,$E$1:AF$1)</f>
        <v>51601.268806673586</v>
      </c>
    </row>
    <row r="94" spans="1:33" ht="15" customHeight="1" x14ac:dyDescent="0.25">
      <c r="D94" s="11" t="s">
        <v>2</v>
      </c>
      <c r="E94" s="52">
        <f>Population!D88*E59/100</f>
        <v>19807.748</v>
      </c>
      <c r="F94" s="52">
        <f>Population!E88*F59/100</f>
        <v>28005.043999999998</v>
      </c>
      <c r="G94" s="52">
        <f>Population!F88*G59/100</f>
        <v>33027.632000000005</v>
      </c>
      <c r="H94" s="52">
        <f>Population!G88*H59/100</f>
        <v>34251.186000000002</v>
      </c>
      <c r="I94" s="52">
        <f>Population!H88*I59/100</f>
        <v>39059.111999999994</v>
      </c>
      <c r="J94" s="52">
        <f>Population!I88*J59/100</f>
        <v>40793.675999999999</v>
      </c>
      <c r="K94" s="52">
        <f>Population!J88*K59/100</f>
        <v>40570.32</v>
      </c>
      <c r="L94" s="52">
        <f>Population!K88*L59/100</f>
        <v>44302.224000000002</v>
      </c>
      <c r="M94" s="52">
        <f>Population!L88*M59/100</f>
        <v>44144.702000000005</v>
      </c>
      <c r="N94" s="52">
        <f>Population!M88*N59/100</f>
        <v>45850.86</v>
      </c>
      <c r="O94" s="52">
        <f>Population!N88*O59/100</f>
        <v>46291.036999999989</v>
      </c>
      <c r="P94" s="52">
        <f>Population!O88*P59/100</f>
        <v>48450.71</v>
      </c>
      <c r="Q94" s="52">
        <f>Population!P88*Q59/100</f>
        <v>51433.536000000007</v>
      </c>
      <c r="R94" s="52">
        <f>Population!Q88*R59/100</f>
        <v>48115.581000000006</v>
      </c>
      <c r="S94" s="52">
        <f>Population!R88*S59/100</f>
        <v>46571.894999999997</v>
      </c>
      <c r="T94" s="52">
        <f>Population!S88*T59/100</f>
        <v>48907.955999999998</v>
      </c>
      <c r="U94" s="52">
        <f>Population!T88*U59/100</f>
        <v>46294.555999999997</v>
      </c>
      <c r="V94" s="52">
        <f>Population!U88*V59/100</f>
        <v>47419.052000000003</v>
      </c>
      <c r="W94" s="52">
        <f>_xlfn.FORECAST.LINEAR(W$1,$E94:V94,$E$1:V$1)</f>
        <v>54484.810457516462</v>
      </c>
      <c r="X94" s="52">
        <f>_xlfn.FORECAST.LINEAR(X$1,$E94:W94,$E$1:W$1)</f>
        <v>55814.809061231557</v>
      </c>
      <c r="Y94" s="52">
        <f>_xlfn.FORECAST.LINEAR(Y$1,$E94:X94,$E$1:X$1)</f>
        <v>57144.807664947119</v>
      </c>
      <c r="Z94" s="52">
        <f>_xlfn.FORECAST.LINEAR(Z$1,$E94:Y94,$E$1:Y$1)</f>
        <v>58474.806268662214</v>
      </c>
      <c r="AA94" s="52">
        <f>_xlfn.FORECAST.LINEAR(AA$1,$E94:Z94,$E$1:Z$1)</f>
        <v>59804.80487237731</v>
      </c>
      <c r="AB94" s="52">
        <f>_xlfn.FORECAST.LINEAR(AB$1,$E94:AA94,$E$1:AA$1)</f>
        <v>61134.803476092406</v>
      </c>
      <c r="AC94" s="52">
        <f>_xlfn.FORECAST.LINEAR(AC$1,$E94:AB94,$E$1:AB$1)</f>
        <v>62464.802079807501</v>
      </c>
      <c r="AD94" s="52">
        <f>_xlfn.FORECAST.LINEAR(AD$1,$E94:AC94,$E$1:AC$1)</f>
        <v>63794.800683522597</v>
      </c>
      <c r="AE94" s="52">
        <f>_xlfn.FORECAST.LINEAR(AE$1,$E94:AD94,$E$1:AD$1)</f>
        <v>65124.799287237693</v>
      </c>
      <c r="AF94" s="52">
        <f>_xlfn.FORECAST.LINEAR(AF$1,$E94:AE94,$E$1:AE$1)</f>
        <v>66454.797890953254</v>
      </c>
      <c r="AG94" s="52">
        <f>_xlfn.FORECAST.LINEAR(AG$1,$E94:AF94,$E$1:AF$1)</f>
        <v>67784.79649466835</v>
      </c>
    </row>
    <row r="95" spans="1:33" ht="15" customHeight="1" x14ac:dyDescent="0.25"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F9B4-FAE0-4EE2-8E3D-D26EFE53BC12}">
  <dimension ref="A1:AF82"/>
  <sheetViews>
    <sheetView zoomScaleNormal="100" workbookViewId="0">
      <pane ySplit="1" topLeftCell="A2" activePane="bottomLeft" state="frozen"/>
      <selection pane="bottomLeft" activeCell="S1" sqref="S1"/>
    </sheetView>
  </sheetViews>
  <sheetFormatPr defaultRowHeight="15" customHeight="1" x14ac:dyDescent="0.25"/>
  <cols>
    <col min="1" max="1" width="29.7109375" style="2" customWidth="1"/>
    <col min="2" max="2" width="9.140625" style="2"/>
    <col min="3" max="3" width="25.28515625" style="11" customWidth="1"/>
    <col min="4" max="12" width="14" bestFit="1" customWidth="1"/>
    <col min="13" max="21" width="12.42578125" bestFit="1" customWidth="1"/>
    <col min="22" max="22" width="11.5703125" bestFit="1" customWidth="1"/>
    <col min="23" max="23" width="12.28515625" bestFit="1" customWidth="1"/>
    <col min="24" max="32" width="11.5703125" bestFit="1" customWidth="1"/>
  </cols>
  <sheetData>
    <row r="1" spans="1:32" s="3" customFormat="1" ht="28.5" customHeight="1" x14ac:dyDescent="0.25">
      <c r="A1" s="90" t="s">
        <v>49</v>
      </c>
      <c r="B1" s="90"/>
      <c r="C1" s="91"/>
      <c r="D1" s="3">
        <v>2008</v>
      </c>
      <c r="E1" s="3">
        <v>2009</v>
      </c>
      <c r="F1" s="3">
        <v>2010</v>
      </c>
      <c r="G1" s="3">
        <v>2011</v>
      </c>
      <c r="H1" s="3">
        <v>2012</v>
      </c>
      <c r="I1" s="3">
        <v>2013</v>
      </c>
      <c r="J1" s="3">
        <v>2014</v>
      </c>
      <c r="K1" s="3">
        <v>2015</v>
      </c>
      <c r="L1" s="3">
        <v>2016</v>
      </c>
      <c r="M1" s="3">
        <v>2017</v>
      </c>
      <c r="N1" s="3">
        <v>2018</v>
      </c>
      <c r="O1" s="3">
        <v>2019</v>
      </c>
      <c r="P1" s="3">
        <v>2020</v>
      </c>
      <c r="Q1" s="3">
        <v>2021</v>
      </c>
      <c r="R1" s="3">
        <v>2022</v>
      </c>
      <c r="S1" s="3">
        <v>2023</v>
      </c>
      <c r="T1" s="3">
        <v>2024</v>
      </c>
      <c r="U1" s="3">
        <v>2025</v>
      </c>
      <c r="V1" s="3">
        <v>2026</v>
      </c>
      <c r="W1" s="3">
        <v>2027</v>
      </c>
      <c r="X1" s="3">
        <v>2028</v>
      </c>
      <c r="Y1" s="3">
        <v>2029</v>
      </c>
      <c r="Z1" s="3">
        <v>2030</v>
      </c>
      <c r="AA1" s="3">
        <v>2031</v>
      </c>
      <c r="AB1" s="3">
        <v>2032</v>
      </c>
      <c r="AC1" s="3">
        <v>2033</v>
      </c>
      <c r="AD1" s="3">
        <v>2034</v>
      </c>
      <c r="AE1" s="3">
        <v>2035</v>
      </c>
      <c r="AF1" s="3">
        <v>2036</v>
      </c>
    </row>
    <row r="2" spans="1:32" s="4" customFormat="1" ht="15" customHeight="1" x14ac:dyDescent="0.25">
      <c r="A2" s="8" t="s">
        <v>20</v>
      </c>
      <c r="B2" s="8" t="s">
        <v>21</v>
      </c>
      <c r="C2" s="9" t="s">
        <v>23</v>
      </c>
    </row>
    <row r="3" spans="1:32" ht="15" customHeight="1" x14ac:dyDescent="0.25">
      <c r="A3" s="10" t="s">
        <v>48</v>
      </c>
      <c r="B3" s="2" t="s">
        <v>11</v>
      </c>
      <c r="C3" s="11" t="s">
        <v>0</v>
      </c>
      <c r="D3" s="23">
        <v>9937</v>
      </c>
      <c r="E3" s="23">
        <v>10637</v>
      </c>
      <c r="F3" s="23">
        <v>9883</v>
      </c>
      <c r="G3" s="23">
        <v>9693</v>
      </c>
      <c r="H3" s="23">
        <v>10658</v>
      </c>
      <c r="I3" s="23">
        <v>11815</v>
      </c>
      <c r="J3" s="23">
        <v>12910</v>
      </c>
      <c r="K3" s="23">
        <v>14189</v>
      </c>
      <c r="L3" s="23">
        <v>15671</v>
      </c>
      <c r="M3" s="23">
        <v>15656</v>
      </c>
      <c r="N3" s="23">
        <v>16484</v>
      </c>
      <c r="O3" s="23">
        <v>17598</v>
      </c>
      <c r="P3" s="23">
        <v>17732</v>
      </c>
      <c r="Q3" s="23">
        <v>18834</v>
      </c>
      <c r="R3" s="23">
        <v>21974</v>
      </c>
      <c r="S3" s="23">
        <v>20043</v>
      </c>
      <c r="T3" s="23">
        <v>20972</v>
      </c>
      <c r="U3" s="23">
        <v>21874</v>
      </c>
      <c r="V3" s="33">
        <f>_xlfn.FORECAST.LINEAR(V$1,$D3:U3,$D$1:U$1)</f>
        <v>22917.758169934852</v>
      </c>
      <c r="W3" s="33">
        <f>_xlfn.FORECAST.LINEAR(W$1,$D3:V3,$D$1:V$1)</f>
        <v>23712.843825249467</v>
      </c>
      <c r="X3" s="33">
        <f>_xlfn.FORECAST.LINEAR(X$1,$D3:W3,$D$1:W$1)</f>
        <v>24507.929480564082</v>
      </c>
      <c r="Y3" s="33">
        <f>_xlfn.FORECAST.LINEAR(Y$1,$D3:X3,$D$1:X$1)</f>
        <v>25303.01513587893</v>
      </c>
      <c r="Z3" s="33">
        <f>_xlfn.FORECAST.LINEAR(Z$1,$D3:Y3,$D$1:Y$1)</f>
        <v>26098.100791193778</v>
      </c>
      <c r="AA3" s="33">
        <f>_xlfn.FORECAST.LINEAR(AA$1,$D3:Z3,$D$1:Z$1)*AVERAGE($L45:P45)</f>
        <v>28089.524700941809</v>
      </c>
      <c r="AB3" s="33">
        <f>_xlfn.FORECAST.LINEAR(AB$1,$D3:AA3,$D$1:AA$1)*AVERAGE($L45:Q45)</f>
        <v>28976.119052880436</v>
      </c>
      <c r="AC3" s="33">
        <f>_xlfn.FORECAST.LINEAR(AC$1,$D3:AB3,$D$1:AB$1)*AVERAGE($L45:R45)</f>
        <v>30372.856087586621</v>
      </c>
      <c r="AD3" s="33">
        <f>_xlfn.FORECAST.LINEAR(AD$1,$D3:AC3,$D$1:AC$1)*AVERAGE($L45:S45)</f>
        <v>31131.258891550598</v>
      </c>
      <c r="AE3" s="33">
        <f>_xlfn.FORECAST.LINEAR(AE$1,$D3:AD3,$D$1:AD$1)*AVERAGE($L45:T45)</f>
        <v>31958.203595438859</v>
      </c>
      <c r="AF3" s="33">
        <f>_xlfn.FORECAST.LINEAR(AF$1,$D3:AE3,$D$1:AE$1)*AVERAGE($L45:U45)</f>
        <v>32826.613351027314</v>
      </c>
    </row>
    <row r="4" spans="1:32" ht="15" customHeight="1" x14ac:dyDescent="0.25">
      <c r="C4" s="11" t="s">
        <v>1</v>
      </c>
      <c r="D4" s="23">
        <v>9920</v>
      </c>
      <c r="E4" s="23">
        <v>9622</v>
      </c>
      <c r="F4" s="23">
        <v>7783</v>
      </c>
      <c r="G4" s="23">
        <v>7838</v>
      </c>
      <c r="H4" s="23">
        <v>8135</v>
      </c>
      <c r="I4" s="23">
        <v>8808</v>
      </c>
      <c r="J4" s="23">
        <v>9894</v>
      </c>
      <c r="K4" s="23">
        <v>11084</v>
      </c>
      <c r="L4" s="23">
        <v>12420</v>
      </c>
      <c r="M4" s="23">
        <v>12485</v>
      </c>
      <c r="N4" s="23">
        <v>13674</v>
      </c>
      <c r="O4" s="23">
        <v>15012</v>
      </c>
      <c r="P4" s="23">
        <v>15087</v>
      </c>
      <c r="Q4" s="23">
        <v>16660</v>
      </c>
      <c r="R4" s="23">
        <v>17489</v>
      </c>
      <c r="S4" s="23">
        <v>17764</v>
      </c>
      <c r="T4" s="23">
        <v>19983</v>
      </c>
      <c r="U4" s="23">
        <v>23673</v>
      </c>
      <c r="V4" s="33">
        <f>_xlfn.FORECAST.LINEAR(V$1,$D4:U4,$D$1:U$1)</f>
        <v>20824.594771241769</v>
      </c>
      <c r="W4" s="33">
        <f>_xlfn.FORECAST.LINEAR(W$1,$D4:V4,$D$1:V$1)</f>
        <v>21628.756793945562</v>
      </c>
      <c r="X4" s="33">
        <f>_xlfn.FORECAST.LINEAR(X$1,$D4:W4,$D$1:W$1)</f>
        <v>22432.918816649355</v>
      </c>
      <c r="Y4" s="33">
        <f>_xlfn.FORECAST.LINEAR(Y$1,$D4:X4,$D$1:X$1)</f>
        <v>23237.080839353148</v>
      </c>
      <c r="Z4" s="33">
        <f>_xlfn.FORECAST.LINEAR(Z$1,$D4:Y4,$D$1:Y$1)</f>
        <v>24041.242862056941</v>
      </c>
      <c r="AA4" s="33">
        <f>_xlfn.FORECAST.LINEAR(AA$1,$D4:Z4,$D$1:Z$1)*AVERAGE($L46:P46)</f>
        <v>28548.355862687418</v>
      </c>
      <c r="AB4" s="33">
        <f>_xlfn.FORECAST.LINEAR(AB$1,$D4:AA4,$D$1:AA$1)*AVERAGE($L46:Q46)</f>
        <v>30015.678469062586</v>
      </c>
      <c r="AC4" s="33">
        <f>_xlfn.FORECAST.LINEAR(AC$1,$D4:AB4,$D$1:AB$1)*AVERAGE($L46:R46)</f>
        <v>31451.342837512901</v>
      </c>
      <c r="AD4" s="33">
        <f>_xlfn.FORECAST.LINEAR(AD$1,$D4:AC4,$D$1:AC$1)*AVERAGE($L46:S46)</f>
        <v>32755.368588498863</v>
      </c>
      <c r="AE4" s="33">
        <f>_xlfn.FORECAST.LINEAR(AE$1,$D4:AD4,$D$1:AD$1)*AVERAGE($L46:T46)</f>
        <v>34347.855310353756</v>
      </c>
      <c r="AF4" s="33">
        <f>_xlfn.FORECAST.LINEAR(AF$1,$D4:AE4,$D$1:AE$1)*AVERAGE($L46:U46)</f>
        <v>36378.992520821172</v>
      </c>
    </row>
    <row r="5" spans="1:32" ht="15" customHeight="1" x14ac:dyDescent="0.25">
      <c r="C5" s="11" t="s">
        <v>2</v>
      </c>
      <c r="D5" s="23">
        <v>9331</v>
      </c>
      <c r="E5" s="23">
        <v>9818</v>
      </c>
      <c r="F5" s="23">
        <v>7764</v>
      </c>
      <c r="G5" s="23">
        <v>7530</v>
      </c>
      <c r="H5" s="23">
        <v>8706</v>
      </c>
      <c r="I5" s="23">
        <v>9504</v>
      </c>
      <c r="J5" s="23">
        <v>10463</v>
      </c>
      <c r="K5" s="23">
        <v>11850</v>
      </c>
      <c r="L5" s="23">
        <v>13561</v>
      </c>
      <c r="M5" s="23">
        <v>14608</v>
      </c>
      <c r="N5" s="23">
        <v>15412</v>
      </c>
      <c r="O5" s="23">
        <v>15844</v>
      </c>
      <c r="P5" s="23">
        <v>17565</v>
      </c>
      <c r="Q5" s="23">
        <v>19806</v>
      </c>
      <c r="R5" s="23">
        <v>21111</v>
      </c>
      <c r="S5" s="23">
        <v>20925</v>
      </c>
      <c r="T5" s="23">
        <v>22128</v>
      </c>
      <c r="U5" s="23">
        <v>25784</v>
      </c>
      <c r="V5" s="33">
        <f>_xlfn.FORECAST.LINEAR(V$1,$D5:U5,$D$1:U$1)</f>
        <v>24145.3267973857</v>
      </c>
      <c r="W5" s="33">
        <f>_xlfn.FORECAST.LINEAR(W$1,$D5:V5,$D$1:V$1)</f>
        <v>25156.472308221739</v>
      </c>
      <c r="X5" s="33">
        <f>_xlfn.FORECAST.LINEAR(X$1,$D5:W5,$D$1:W$1)</f>
        <v>26167.617819057312</v>
      </c>
      <c r="Y5" s="33">
        <f>_xlfn.FORECAST.LINEAR(Y$1,$D5:X5,$D$1:X$1)</f>
        <v>27178.763329893351</v>
      </c>
      <c r="Z5" s="33">
        <f>_xlfn.FORECAST.LINEAR(Z$1,$D5:Y5,$D$1:Y$1)</f>
        <v>28189.908840729389</v>
      </c>
      <c r="AA5" s="33">
        <f>_xlfn.FORECAST.LINEAR(AA$1,$D5:Z5,$D$1:Z$1)*AVERAGE($L47:P47)</f>
        <v>33335.214215037733</v>
      </c>
      <c r="AB5" s="33">
        <f>_xlfn.FORECAST.LINEAR(AB$1,$D5:AA5,$D$1:AA$1)*AVERAGE($L47:Q47)</f>
        <v>35325.564494615333</v>
      </c>
      <c r="AC5" s="33">
        <f>_xlfn.FORECAST.LINEAR(AC$1,$D5:AB5,$D$1:AB$1)*AVERAGE($L47:R47)</f>
        <v>37261.373096021147</v>
      </c>
      <c r="AD5" s="33">
        <f>_xlfn.FORECAST.LINEAR(AD$1,$D5:AC5,$D$1:AC$1)*AVERAGE($L47:S47)</f>
        <v>38856.933105593984</v>
      </c>
      <c r="AE5" s="33">
        <f>_xlfn.FORECAST.LINEAR(AE$1,$D5:AD5,$D$1:AD$1)*AVERAGE($L47:T47)</f>
        <v>40505.805704770319</v>
      </c>
      <c r="AF5" s="33">
        <f>_xlfn.FORECAST.LINEAR(AF$1,$D5:AE5,$D$1:AE$1)*AVERAGE($L47:U47)</f>
        <v>42607.941867125839</v>
      </c>
    </row>
    <row r="6" spans="1:32" ht="15" customHeight="1" x14ac:dyDescent="0.25">
      <c r="A6" s="10" t="s">
        <v>48</v>
      </c>
      <c r="B6" s="2" t="s">
        <v>13</v>
      </c>
      <c r="C6" s="11" t="s">
        <v>0</v>
      </c>
      <c r="D6" s="23">
        <v>9633</v>
      </c>
      <c r="E6" s="23">
        <v>10410</v>
      </c>
      <c r="F6" s="23">
        <v>9539</v>
      </c>
      <c r="G6" s="23">
        <v>9509</v>
      </c>
      <c r="H6" s="23">
        <v>10334</v>
      </c>
      <c r="I6" s="23">
        <v>11388</v>
      </c>
      <c r="J6" s="23">
        <v>12789</v>
      </c>
      <c r="K6" s="23">
        <v>14201</v>
      </c>
      <c r="L6" s="23">
        <v>15542</v>
      </c>
      <c r="M6" s="23">
        <v>16001</v>
      </c>
      <c r="N6" s="23">
        <v>17052</v>
      </c>
      <c r="O6" s="23">
        <v>18058</v>
      </c>
      <c r="P6" s="23">
        <v>18252</v>
      </c>
      <c r="Q6" s="23">
        <v>18874</v>
      </c>
      <c r="R6" s="23">
        <v>22581</v>
      </c>
      <c r="S6" s="23">
        <v>19760</v>
      </c>
      <c r="T6" s="23">
        <v>20755</v>
      </c>
      <c r="U6" s="23">
        <v>21756</v>
      </c>
      <c r="V6" s="33">
        <f>_xlfn.FORECAST.LINEAR(V$1,$D6:U6,$D$1:U$1)</f>
        <v>23182.895424836781</v>
      </c>
      <c r="W6" s="33">
        <f>_xlfn.FORECAST.LINEAR(W$1,$D6:V6,$D$1:V$1)</f>
        <v>24006.627106983215</v>
      </c>
      <c r="X6" s="33">
        <f>_xlfn.FORECAST.LINEAR(X$1,$D6:W6,$D$1:W$1)</f>
        <v>24830.358789129648</v>
      </c>
      <c r="Y6" s="33">
        <f>_xlfn.FORECAST.LINEAR(Y$1,$D6:X6,$D$1:X$1)</f>
        <v>25654.090471276315</v>
      </c>
      <c r="Z6" s="33">
        <f>_xlfn.FORECAST.LINEAR(Z$1,$D6:Y6,$D$1:Y$1)</f>
        <v>26477.822153422749</v>
      </c>
      <c r="AA6" s="33">
        <f>_xlfn.FORECAST.LINEAR(AA$1,$D6:Z6,$D$1:Z$1)*AVERAGE($L48:P48)</f>
        <v>28891.449797556059</v>
      </c>
      <c r="AB6" s="33">
        <f>_xlfn.FORECAST.LINEAR(AB$1,$D6:AA6,$D$1:AA$1)*AVERAGE($L48:Q48)</f>
        <v>29697.694404881553</v>
      </c>
      <c r="AC6" s="33">
        <f>_xlfn.FORECAST.LINEAR(AC$1,$D6:AB6,$D$1:AB$1)*AVERAGE($L48:R48)</f>
        <v>31163.787929423528</v>
      </c>
      <c r="AD6" s="33">
        <f>_xlfn.FORECAST.LINEAR(AD$1,$D6:AC6,$D$1:AC$1)*AVERAGE($L48:S48)</f>
        <v>31820.267551293109</v>
      </c>
      <c r="AE6" s="33">
        <f>_xlfn.FORECAST.LINEAR(AE$1,$D6:AD6,$D$1:AD$1)*AVERAGE($L48:T48)</f>
        <v>32583.943788636425</v>
      </c>
      <c r="AF6" s="33">
        <f>_xlfn.FORECAST.LINEAR(AF$1,$D6:AE6,$D$1:AE$1)*AVERAGE($L48:U48)</f>
        <v>33420.434298357228</v>
      </c>
    </row>
    <row r="7" spans="1:32" ht="15" customHeight="1" x14ac:dyDescent="0.25">
      <c r="C7" s="11" t="s">
        <v>1</v>
      </c>
      <c r="D7" s="23">
        <v>9724</v>
      </c>
      <c r="E7" s="23">
        <v>9657</v>
      </c>
      <c r="F7" s="23">
        <v>7811</v>
      </c>
      <c r="G7" s="23">
        <v>7718</v>
      </c>
      <c r="H7" s="23">
        <v>7950</v>
      </c>
      <c r="I7" s="23">
        <v>8435</v>
      </c>
      <c r="J7" s="23">
        <v>9669</v>
      </c>
      <c r="K7" s="23">
        <v>10674</v>
      </c>
      <c r="L7" s="23">
        <v>12275</v>
      </c>
      <c r="M7" s="23">
        <v>12366</v>
      </c>
      <c r="N7" s="23">
        <v>13453</v>
      </c>
      <c r="O7" s="23">
        <v>15024</v>
      </c>
      <c r="P7" s="23">
        <v>14987</v>
      </c>
      <c r="Q7" s="23">
        <v>15714</v>
      </c>
      <c r="R7" s="23">
        <v>16615</v>
      </c>
      <c r="S7" s="23">
        <v>17076</v>
      </c>
      <c r="T7" s="23">
        <v>19040</v>
      </c>
      <c r="U7" s="23">
        <v>22871</v>
      </c>
      <c r="V7" s="33">
        <f>_xlfn.FORECAST.LINEAR(V$1,$D7:U7,$D$1:U$1)</f>
        <v>20027.777777777519</v>
      </c>
      <c r="W7" s="33">
        <f>_xlfn.FORECAST.LINEAR(W$1,$D7:V7,$D$1:V$1)</f>
        <v>20784.742690058425</v>
      </c>
      <c r="X7" s="33">
        <f>_xlfn.FORECAST.LINEAR(X$1,$D7:W7,$D$1:W$1)</f>
        <v>21541.707602339331</v>
      </c>
      <c r="Y7" s="33">
        <f>_xlfn.FORECAST.LINEAR(Y$1,$D7:X7,$D$1:X$1)</f>
        <v>22298.672514620004</v>
      </c>
      <c r="Z7" s="33">
        <f>_xlfn.FORECAST.LINEAR(Z$1,$D7:Y7,$D$1:Y$1)</f>
        <v>23055.637426900677</v>
      </c>
      <c r="AA7" s="33">
        <f>_xlfn.FORECAST.LINEAR(AA$1,$D7:Z7,$D$1:Z$1)*AVERAGE($L49:P49)</f>
        <v>27858.10717301234</v>
      </c>
      <c r="AB7" s="33">
        <f>_xlfn.FORECAST.LINEAR(AB$1,$D7:AA7,$D$1:AA$1)*AVERAGE($L49:Q49)</f>
        <v>29071.727975134945</v>
      </c>
      <c r="AC7" s="33">
        <f>_xlfn.FORECAST.LINEAR(AC$1,$D7:AB7,$D$1:AB$1)*AVERAGE($L49:R49)</f>
        <v>30351.185168680495</v>
      </c>
      <c r="AD7" s="33">
        <f>_xlfn.FORECAST.LINEAR(AD$1,$D7:AC7,$D$1:AC$1)*AVERAGE($L49:S49)</f>
        <v>31578.999116818046</v>
      </c>
      <c r="AE7" s="33">
        <f>_xlfn.FORECAST.LINEAR(AE$1,$D7:AD7,$D$1:AD$1)*AVERAGE($L49:T49)</f>
        <v>33059.934186282728</v>
      </c>
      <c r="AF7" s="33">
        <f>_xlfn.FORECAST.LINEAR(AF$1,$D7:AE7,$D$1:AE$1)*AVERAGE($L49:U49)</f>
        <v>35024.480351128339</v>
      </c>
    </row>
    <row r="8" spans="1:32" ht="15" customHeight="1" x14ac:dyDescent="0.25">
      <c r="C8" s="11" t="s">
        <v>2</v>
      </c>
      <c r="D8" s="23">
        <v>8908</v>
      </c>
      <c r="E8" s="23">
        <v>9606</v>
      </c>
      <c r="F8" s="23">
        <v>7926</v>
      </c>
      <c r="G8" s="23">
        <v>7630</v>
      </c>
      <c r="H8" s="23">
        <v>8722</v>
      </c>
      <c r="I8" s="23">
        <v>9561</v>
      </c>
      <c r="J8" s="23">
        <v>10322</v>
      </c>
      <c r="K8" s="23">
        <v>11809</v>
      </c>
      <c r="L8" s="23">
        <v>12962</v>
      </c>
      <c r="M8" s="23">
        <v>13386</v>
      </c>
      <c r="N8" s="23">
        <v>14518</v>
      </c>
      <c r="O8" s="23">
        <v>15638</v>
      </c>
      <c r="P8" s="23">
        <v>17013</v>
      </c>
      <c r="Q8" s="23">
        <v>18631</v>
      </c>
      <c r="R8" s="23">
        <v>19811</v>
      </c>
      <c r="S8" s="23">
        <v>19853</v>
      </c>
      <c r="T8" s="23">
        <v>20598</v>
      </c>
      <c r="U8" s="23">
        <v>23015</v>
      </c>
      <c r="V8" s="33">
        <f>_xlfn.FORECAST.LINEAR(V$1,$D8:U8,$D$1:U$1)</f>
        <v>22415.372549019521</v>
      </c>
      <c r="W8" s="33">
        <f>_xlfn.FORECAST.LINEAR(W$1,$D8:V8,$D$1:V$1)</f>
        <v>23313.429308565566</v>
      </c>
      <c r="X8" s="33">
        <f>_xlfn.FORECAST.LINEAR(X$1,$D8:W8,$D$1:W$1)</f>
        <v>24211.486068111379</v>
      </c>
      <c r="Y8" s="33">
        <f>_xlfn.FORECAST.LINEAR(Y$1,$D8:X8,$D$1:X$1)</f>
        <v>25109.542827657424</v>
      </c>
      <c r="Z8" s="33">
        <f>_xlfn.FORECAST.LINEAR(Z$1,$D8:Y8,$D$1:Y$1)</f>
        <v>26007.599587203003</v>
      </c>
      <c r="AA8" s="33">
        <f>_xlfn.FORECAST.LINEAR(AA$1,$D8:Z8,$D$1:Z$1)*AVERAGE($L50:P50)</f>
        <v>30150.332564848675</v>
      </c>
      <c r="AB8" s="33">
        <f>_xlfn.FORECAST.LINEAR(AB$1,$D8:AA8,$D$1:AA$1)*AVERAGE($L50:Q50)</f>
        <v>31801.169204430666</v>
      </c>
      <c r="AC8" s="33">
        <f>_xlfn.FORECAST.LINEAR(AC$1,$D8:AB8,$D$1:AB$1)*AVERAGE($L50:R50)</f>
        <v>33415.527751304442</v>
      </c>
      <c r="AD8" s="33">
        <f>_xlfn.FORECAST.LINEAR(AD$1,$D8:AC8,$D$1:AC$1)*AVERAGE($L50:S50)</f>
        <v>34782.190376854807</v>
      </c>
      <c r="AE8" s="33">
        <f>_xlfn.FORECAST.LINEAR(AE$1,$D8:AD8,$D$1:AD$1)*AVERAGE($L50:T50)</f>
        <v>36125.625120346449</v>
      </c>
      <c r="AF8" s="33">
        <f>_xlfn.FORECAST.LINEAR(AF$1,$D8:AE8,$D$1:AE$1)*AVERAGE($L50:U50)</f>
        <v>37726.405150143248</v>
      </c>
    </row>
    <row r="9" spans="1:32" ht="15" customHeight="1" x14ac:dyDescent="0.25">
      <c r="A9" s="10" t="s">
        <v>16</v>
      </c>
      <c r="B9" s="2" t="s">
        <v>11</v>
      </c>
      <c r="C9" s="11" t="s">
        <v>0</v>
      </c>
      <c r="D9" s="23">
        <v>8565</v>
      </c>
      <c r="E9" s="23">
        <v>9280</v>
      </c>
      <c r="F9" s="23">
        <v>8556</v>
      </c>
      <c r="G9" s="23">
        <v>8502</v>
      </c>
      <c r="H9" s="23">
        <v>8757</v>
      </c>
      <c r="I9" s="23">
        <v>9482</v>
      </c>
      <c r="J9" s="23">
        <v>10390</v>
      </c>
      <c r="K9" s="23">
        <v>12502</v>
      </c>
      <c r="L9" s="23">
        <v>14168</v>
      </c>
      <c r="M9" s="23">
        <v>14510</v>
      </c>
      <c r="N9" s="23">
        <v>15515</v>
      </c>
      <c r="O9" s="23">
        <v>15942</v>
      </c>
      <c r="P9" s="23">
        <v>16318</v>
      </c>
      <c r="Q9" s="23">
        <v>16470</v>
      </c>
      <c r="R9" s="23">
        <v>19160</v>
      </c>
      <c r="S9" s="23">
        <v>17404</v>
      </c>
      <c r="T9" s="23">
        <v>18835</v>
      </c>
      <c r="U9" s="23">
        <v>19448</v>
      </c>
      <c r="V9" s="33">
        <f>_xlfn.FORECAST.LINEAR(V$1,$D9:U9,$D$1:U$1)</f>
        <v>20554.549019607948</v>
      </c>
      <c r="W9" s="33">
        <f>_xlfn.FORECAST.LINEAR(W$1,$D9:V9,$D$1:V$1)</f>
        <v>21292.431372549152</v>
      </c>
      <c r="X9" s="33">
        <f>_xlfn.FORECAST.LINEAR(X$1,$D9:W9,$D$1:W$1)</f>
        <v>22030.313725490356</v>
      </c>
      <c r="Y9" s="33">
        <f>_xlfn.FORECAST.LINEAR(Y$1,$D9:X9,$D$1:X$1)</f>
        <v>22768.19607843156</v>
      </c>
      <c r="Z9" s="33">
        <f>_xlfn.FORECAST.LINEAR(Z$1,$D9:Y9,$D$1:Y$1)</f>
        <v>23506.078431372764</v>
      </c>
      <c r="AA9" s="33">
        <f>_xlfn.FORECAST.LINEAR(AA$1,$D9:Z9,$D$1:Z$1)*AVERAGE($L51:P51)</f>
        <v>26516.056745642509</v>
      </c>
      <c r="AB9" s="33">
        <f>_xlfn.FORECAST.LINEAR(AB$1,$D9:AA9,$D$1:AA$1)*AVERAGE($L51:Q51)</f>
        <v>27186.297680451466</v>
      </c>
      <c r="AC9" s="33">
        <f>_xlfn.FORECAST.LINEAR(AC$1,$D9:AB9,$D$1:AB$1)*AVERAGE($L51:R51)</f>
        <v>28358.100423655644</v>
      </c>
      <c r="AD9" s="33">
        <f>_xlfn.FORECAST.LINEAR(AD$1,$D9:AC9,$D$1:AC$1)*AVERAGE($L51:S51)</f>
        <v>29001.411819286288</v>
      </c>
      <c r="AE9" s="33">
        <f>_xlfn.FORECAST.LINEAR(AE$1,$D9:AD9,$D$1:AD$1)*AVERAGE($L51:T51)</f>
        <v>29831.905181040176</v>
      </c>
      <c r="AF9" s="33">
        <f>_xlfn.FORECAST.LINEAR(AF$1,$D9:AE9,$D$1:AE$1)*AVERAGE($L51:U51)</f>
        <v>30667.637212759779</v>
      </c>
    </row>
    <row r="10" spans="1:32" ht="15" customHeight="1" x14ac:dyDescent="0.25">
      <c r="C10" s="11" t="s">
        <v>1</v>
      </c>
      <c r="D10" s="23">
        <v>8904</v>
      </c>
      <c r="E10" s="23">
        <v>8989</v>
      </c>
      <c r="F10" s="23">
        <v>7353</v>
      </c>
      <c r="G10" s="23">
        <v>7238</v>
      </c>
      <c r="H10" s="23">
        <v>7845</v>
      </c>
      <c r="I10" s="23">
        <v>8126</v>
      </c>
      <c r="J10" s="23">
        <v>9083</v>
      </c>
      <c r="K10" s="23">
        <v>9721</v>
      </c>
      <c r="L10" s="23">
        <v>10936</v>
      </c>
      <c r="M10" s="23">
        <v>10657</v>
      </c>
      <c r="N10" s="23">
        <v>11914</v>
      </c>
      <c r="O10" s="23">
        <v>12441</v>
      </c>
      <c r="P10" s="23">
        <v>13023</v>
      </c>
      <c r="Q10" s="23">
        <v>13819</v>
      </c>
      <c r="R10" s="23">
        <v>15073</v>
      </c>
      <c r="S10" s="23">
        <v>15012</v>
      </c>
      <c r="T10" s="23">
        <v>17081</v>
      </c>
      <c r="U10" s="23">
        <v>20401</v>
      </c>
      <c r="V10" s="33">
        <f>_xlfn.FORECAST.LINEAR(V$1,$D10:U10,$D$1:U$1)</f>
        <v>17551.045751633821</v>
      </c>
      <c r="W10" s="33">
        <f>_xlfn.FORECAST.LINEAR(W$1,$D10:V10,$D$1:V$1)</f>
        <v>18184.395596835297</v>
      </c>
      <c r="X10" s="33">
        <f>_xlfn.FORECAST.LINEAR(X$1,$D10:W10,$D$1:W$1)</f>
        <v>18817.745442036306</v>
      </c>
      <c r="Y10" s="33">
        <f>_xlfn.FORECAST.LINEAR(Y$1,$D10:X10,$D$1:X$1)</f>
        <v>19451.095287237782</v>
      </c>
      <c r="Z10" s="33">
        <f>_xlfn.FORECAST.LINEAR(Z$1,$D10:Y10,$D$1:Y$1)</f>
        <v>20084.445132438792</v>
      </c>
      <c r="AA10" s="33">
        <f>_xlfn.FORECAST.LINEAR(AA$1,$D10:Z10,$D$1:Z$1)*AVERAGE($L52:P52)</f>
        <v>23338.016208263678</v>
      </c>
      <c r="AB10" s="33">
        <f>_xlfn.FORECAST.LINEAR(AB$1,$D10:AA10,$D$1:AA$1)*AVERAGE($L52:Q52)</f>
        <v>24397.980722037672</v>
      </c>
      <c r="AC10" s="33">
        <f>_xlfn.FORECAST.LINEAR(AC$1,$D10:AB10,$D$1:AB$1)*AVERAGE($L52:R52)</f>
        <v>25603.308840427537</v>
      </c>
      <c r="AD10" s="33">
        <f>_xlfn.FORECAST.LINEAR(AD$1,$D10:AC10,$D$1:AC$1)*AVERAGE($L52:S52)</f>
        <v>26619.025363388748</v>
      </c>
      <c r="AE10" s="33">
        <f>_xlfn.FORECAST.LINEAR(AE$1,$D10:AD10,$D$1:AD$1)*AVERAGE($L52:T52)</f>
        <v>27914.361076807898</v>
      </c>
      <c r="AF10" s="33">
        <f>_xlfn.FORECAST.LINEAR(AF$1,$D10:AE10,$D$1:AE$1)*AVERAGE($L52:U52)</f>
        <v>29596.568118737818</v>
      </c>
    </row>
    <row r="11" spans="1:32" ht="15" customHeight="1" x14ac:dyDescent="0.25">
      <c r="C11" s="11" t="s">
        <v>2</v>
      </c>
      <c r="D11" s="23">
        <v>8228</v>
      </c>
      <c r="E11" s="23">
        <v>9040</v>
      </c>
      <c r="F11" s="23">
        <v>8069</v>
      </c>
      <c r="G11" s="23">
        <v>7725</v>
      </c>
      <c r="H11" s="23">
        <v>8755</v>
      </c>
      <c r="I11" s="23">
        <v>9528</v>
      </c>
      <c r="J11" s="23">
        <v>9959</v>
      </c>
      <c r="K11" s="23">
        <v>10544</v>
      </c>
      <c r="L11" s="23">
        <v>12023</v>
      </c>
      <c r="M11" s="23">
        <v>12571</v>
      </c>
      <c r="N11" s="23">
        <v>13717</v>
      </c>
      <c r="O11" s="23">
        <v>15135</v>
      </c>
      <c r="P11" s="23">
        <v>16424</v>
      </c>
      <c r="Q11" s="23">
        <v>17659</v>
      </c>
      <c r="R11" s="23">
        <v>16901</v>
      </c>
      <c r="S11" s="23">
        <v>17825</v>
      </c>
      <c r="T11" s="23">
        <v>16485</v>
      </c>
      <c r="U11" s="23">
        <v>16426</v>
      </c>
      <c r="V11" s="33">
        <f>_xlfn.FORECAST.LINEAR(V$1,$D11:U11,$D$1:U$1)</f>
        <v>18917.37908496731</v>
      </c>
      <c r="W11" s="33">
        <f>_xlfn.FORECAST.LINEAR(W$1,$D11:V11,$D$1:V$1)</f>
        <v>19581.114895080915</v>
      </c>
      <c r="X11" s="33">
        <f>_xlfn.FORECAST.LINEAR(X$1,$D11:W11,$D$1:W$1)</f>
        <v>20244.850705194287</v>
      </c>
      <c r="Y11" s="33">
        <f>_xlfn.FORECAST.LINEAR(Y$1,$D11:X11,$D$1:X$1)</f>
        <v>20908.586515307892</v>
      </c>
      <c r="Z11" s="33">
        <f>_xlfn.FORECAST.LINEAR(Z$1,$D11:Y11,$D$1:Y$1)</f>
        <v>21572.322325421497</v>
      </c>
      <c r="AA11" s="33">
        <f>_xlfn.FORECAST.LINEAR(AA$1,$D11:Z11,$D$1:Z$1)*AVERAGE($L53:P53)</f>
        <v>25110.203676377037</v>
      </c>
      <c r="AB11" s="33">
        <f>_xlfn.FORECAST.LINEAR(AB$1,$D11:AA11,$D$1:AA$1)*AVERAGE($L53:Q53)</f>
        <v>26387.852468479949</v>
      </c>
      <c r="AC11" s="33">
        <f>_xlfn.FORECAST.LINEAR(AC$1,$D11:AB11,$D$1:AB$1)*AVERAGE($L53:R53)</f>
        <v>27255.201853586474</v>
      </c>
      <c r="AD11" s="33">
        <f>_xlfn.FORECAST.LINEAR(AD$1,$D11:AC11,$D$1:AC$1)*AVERAGE($L53:S53)</f>
        <v>28192.342045947185</v>
      </c>
      <c r="AE11" s="33">
        <f>_xlfn.FORECAST.LINEAR(AE$1,$D11:AD11,$D$1:AD$1)*AVERAGE($L53:T53)</f>
        <v>28808.911686317566</v>
      </c>
      <c r="AF11" s="33">
        <f>_xlfn.FORECAST.LINEAR(AF$1,$D11:AE11,$D$1:AE$1)*AVERAGE($L53:U53)</f>
        <v>29386.970362855696</v>
      </c>
    </row>
    <row r="12" spans="1:32" ht="15" customHeight="1" x14ac:dyDescent="0.25">
      <c r="A12" s="10" t="s">
        <v>16</v>
      </c>
      <c r="B12" s="2" t="s">
        <v>13</v>
      </c>
      <c r="C12" s="11" t="s">
        <v>0</v>
      </c>
      <c r="D12" s="23">
        <v>8117</v>
      </c>
      <c r="E12" s="23">
        <v>9469</v>
      </c>
      <c r="F12" s="23">
        <v>8933</v>
      </c>
      <c r="G12" s="23">
        <v>8923</v>
      </c>
      <c r="H12" s="23">
        <v>8693</v>
      </c>
      <c r="I12" s="23">
        <v>9291</v>
      </c>
      <c r="J12" s="23">
        <v>10564</v>
      </c>
      <c r="K12" s="23">
        <v>12678</v>
      </c>
      <c r="L12" s="23">
        <v>13889</v>
      </c>
      <c r="M12" s="23">
        <v>14427</v>
      </c>
      <c r="N12" s="23">
        <v>15151</v>
      </c>
      <c r="O12" s="23">
        <v>15596</v>
      </c>
      <c r="P12" s="23">
        <v>16038</v>
      </c>
      <c r="Q12" s="23">
        <v>16761</v>
      </c>
      <c r="R12" s="23">
        <v>19654</v>
      </c>
      <c r="S12" s="23">
        <v>17998</v>
      </c>
      <c r="T12" s="23">
        <v>19300</v>
      </c>
      <c r="U12" s="23">
        <v>20732</v>
      </c>
      <c r="V12" s="33">
        <f>_xlfn.FORECAST.LINEAR(V$1,$D12:U12,$D$1:U$1)</f>
        <v>21038.986928104656</v>
      </c>
      <c r="W12" s="33">
        <f>_xlfn.FORECAST.LINEAR(W$1,$D12:V12,$D$1:V$1)</f>
        <v>21813.769177846611</v>
      </c>
      <c r="X12" s="33">
        <f>_xlfn.FORECAST.LINEAR(X$1,$D12:W12,$D$1:W$1)</f>
        <v>22588.551427588565</v>
      </c>
      <c r="Y12" s="33">
        <f>_xlfn.FORECAST.LINEAR(Y$1,$D12:X12,$D$1:X$1)</f>
        <v>23363.33367733052</v>
      </c>
      <c r="Z12" s="33">
        <f>_xlfn.FORECAST.LINEAR(Z$1,$D12:Y12,$D$1:Y$1)</f>
        <v>24138.115927072708</v>
      </c>
      <c r="AA12" s="33">
        <f>_xlfn.FORECAST.LINEAR(AA$1,$D12:Z12,$D$1:Z$1)*AVERAGE($L54:P54)</f>
        <v>26811.675064370953</v>
      </c>
      <c r="AB12" s="33">
        <f>_xlfn.FORECAST.LINEAR(AB$1,$D12:AA12,$D$1:AA$1)*AVERAGE($L54:Q54)</f>
        <v>27645.091700191631</v>
      </c>
      <c r="AC12" s="33">
        <f>_xlfn.FORECAST.LINEAR(AC$1,$D12:AB12,$D$1:AB$1)*AVERAGE($L54:R54)</f>
        <v>28994.223783565161</v>
      </c>
      <c r="AD12" s="33">
        <f>_xlfn.FORECAST.LINEAR(AD$1,$D12:AC12,$D$1:AC$1)*AVERAGE($L54:S54)</f>
        <v>29773.83880106598</v>
      </c>
      <c r="AE12" s="33">
        <f>_xlfn.FORECAST.LINEAR(AE$1,$D12:AD12,$D$1:AD$1)*AVERAGE($L54:T54)</f>
        <v>30695.796773428719</v>
      </c>
      <c r="AF12" s="33">
        <f>_xlfn.FORECAST.LINEAR(AF$1,$D12:AE12,$D$1:AE$1)*AVERAGE($L54:U54)</f>
        <v>31732.472136962835</v>
      </c>
    </row>
    <row r="13" spans="1:32" ht="15" customHeight="1" x14ac:dyDescent="0.25">
      <c r="C13" s="11" t="s">
        <v>1</v>
      </c>
      <c r="D13" s="23">
        <v>8038</v>
      </c>
      <c r="E13" s="23">
        <v>8277</v>
      </c>
      <c r="F13" s="23">
        <v>7300</v>
      </c>
      <c r="G13" s="23">
        <v>7417</v>
      </c>
      <c r="H13" s="23">
        <v>7703</v>
      </c>
      <c r="I13" s="23">
        <v>8121</v>
      </c>
      <c r="J13" s="23">
        <v>9120</v>
      </c>
      <c r="K13" s="23">
        <v>9851</v>
      </c>
      <c r="L13" s="23">
        <v>10640</v>
      </c>
      <c r="M13" s="23">
        <v>10692</v>
      </c>
      <c r="N13" s="23">
        <v>11315</v>
      </c>
      <c r="O13" s="23">
        <v>12118</v>
      </c>
      <c r="P13" s="23">
        <v>12605</v>
      </c>
      <c r="Q13" s="23">
        <v>13521</v>
      </c>
      <c r="R13" s="23">
        <v>13866</v>
      </c>
      <c r="S13" s="23">
        <v>14319</v>
      </c>
      <c r="T13" s="23">
        <v>16161</v>
      </c>
      <c r="U13" s="23">
        <v>19059</v>
      </c>
      <c r="V13" s="33">
        <f>_xlfn.FORECAST.LINEAR(V$1,$D13:U13,$D$1:U$1)</f>
        <v>16715.856209150515</v>
      </c>
      <c r="W13" s="33">
        <f>_xlfn.FORECAST.LINEAR(W$1,$D13:V13,$D$1:V$1)</f>
        <v>17305.110079119448</v>
      </c>
      <c r="X13" s="33">
        <f>_xlfn.FORECAST.LINEAR(X$1,$D13:W13,$D$1:W$1)</f>
        <v>17894.36394908838</v>
      </c>
      <c r="Y13" s="33">
        <f>_xlfn.FORECAST.LINEAR(Y$1,$D13:X13,$D$1:X$1)</f>
        <v>18483.617819057545</v>
      </c>
      <c r="Z13" s="33">
        <f>_xlfn.FORECAST.LINEAR(Z$1,$D13:Y13,$D$1:Y$1)</f>
        <v>19072.871689026477</v>
      </c>
      <c r="AA13" s="33">
        <f>_xlfn.FORECAST.LINEAR(AA$1,$D13:Z13,$D$1:Z$1)*AVERAGE($L55:P55)</f>
        <v>21217.460287754351</v>
      </c>
      <c r="AB13" s="33">
        <f>_xlfn.FORECAST.LINEAR(AB$1,$D13:AA13,$D$1:AA$1)*AVERAGE($L55:Q55)</f>
        <v>22124.987784275563</v>
      </c>
      <c r="AC13" s="33">
        <f>_xlfn.FORECAST.LINEAR(AC$1,$D13:AB13,$D$1:AB$1)*AVERAGE($L55:R55)</f>
        <v>22952.18038920626</v>
      </c>
      <c r="AD13" s="33">
        <f>_xlfn.FORECAST.LINEAR(AD$1,$D13:AC13,$D$1:AC$1)*AVERAGE($L55:S55)</f>
        <v>23757.242279029189</v>
      </c>
      <c r="AE13" s="33">
        <f>_xlfn.FORECAST.LINEAR(AE$1,$D13:AD13,$D$1:AD$1)*AVERAGE($L55:T55)</f>
        <v>24795.663905097907</v>
      </c>
      <c r="AF13" s="33">
        <f>_xlfn.FORECAST.LINEAR(AF$1,$D13:AE13,$D$1:AE$1)*AVERAGE($L55:U55)</f>
        <v>26147.954657450158</v>
      </c>
    </row>
    <row r="14" spans="1:32" ht="15" customHeight="1" x14ac:dyDescent="0.25">
      <c r="C14" s="11" t="s">
        <v>2</v>
      </c>
      <c r="D14" s="23">
        <v>8332</v>
      </c>
      <c r="E14" s="23">
        <v>8723</v>
      </c>
      <c r="F14" s="23">
        <v>7820</v>
      </c>
      <c r="G14" s="23">
        <v>7244</v>
      </c>
      <c r="H14" s="23">
        <v>7915</v>
      </c>
      <c r="I14" s="23">
        <v>8619</v>
      </c>
      <c r="J14" s="23">
        <v>9687</v>
      </c>
      <c r="K14" s="23">
        <v>10270</v>
      </c>
      <c r="L14" s="23">
        <v>12403</v>
      </c>
      <c r="M14" s="23">
        <v>12569</v>
      </c>
      <c r="N14" s="23">
        <v>13043</v>
      </c>
      <c r="O14" s="23">
        <v>14588</v>
      </c>
      <c r="P14" s="23">
        <v>14994</v>
      </c>
      <c r="Q14" s="23">
        <v>17207</v>
      </c>
      <c r="R14" s="23">
        <v>17250</v>
      </c>
      <c r="S14" s="23">
        <v>17181</v>
      </c>
      <c r="T14" s="23">
        <v>17708</v>
      </c>
      <c r="U14" s="23">
        <v>18585</v>
      </c>
      <c r="V14" s="33">
        <f>_xlfn.FORECAST.LINEAR(V$1,$D14:U14,$D$1:U$1)</f>
        <v>19335.228758169804</v>
      </c>
      <c r="W14" s="33">
        <f>_xlfn.FORECAST.LINEAR(W$1,$D14:V14,$D$1:V$1)</f>
        <v>20059.767457860522</v>
      </c>
      <c r="X14" s="33">
        <f>_xlfn.FORECAST.LINEAR(X$1,$D14:W14,$D$1:W$1)</f>
        <v>20784.306157550775</v>
      </c>
      <c r="Y14" s="33">
        <f>_xlfn.FORECAST.LINEAR(Y$1,$D14:X14,$D$1:X$1)</f>
        <v>21508.844857241027</v>
      </c>
      <c r="Z14" s="33">
        <f>_xlfn.FORECAST.LINEAR(Z$1,$D14:Y14,$D$1:Y$1)</f>
        <v>22233.383556931512</v>
      </c>
      <c r="AA14" s="33">
        <f>_xlfn.FORECAST.LINEAR(AA$1,$D14:Z14,$D$1:Z$1)*AVERAGE($L56:P56)</f>
        <v>25991.395682884558</v>
      </c>
      <c r="AB14" s="33">
        <f>_xlfn.FORECAST.LINEAR(AB$1,$D14:AA14,$D$1:AA$1)*AVERAGE($L56:Q56)</f>
        <v>27453.97308663098</v>
      </c>
      <c r="AC14" s="33">
        <f>_xlfn.FORECAST.LINEAR(AC$1,$D14:AB14,$D$1:AB$1)*AVERAGE($L56:R56)</f>
        <v>28636.442548523202</v>
      </c>
      <c r="AD14" s="33">
        <f>_xlfn.FORECAST.LINEAR(AD$1,$D14:AC14,$D$1:AC$1)*AVERAGE($L56:S56)</f>
        <v>29643.540778981591</v>
      </c>
      <c r="AE14" s="33">
        <f>_xlfn.FORECAST.LINEAR(AE$1,$D14:AD14,$D$1:AD$1)*AVERAGE($L56:T56)</f>
        <v>30642.575676278153</v>
      </c>
      <c r="AF14" s="33">
        <f>_xlfn.FORECAST.LINEAR(AF$1,$D14:AE14,$D$1:AE$1)*AVERAGE($L56:U56)</f>
        <v>31690.821614375232</v>
      </c>
    </row>
    <row r="15" spans="1:32" ht="15" customHeight="1" x14ac:dyDescent="0.25">
      <c r="A15" s="10" t="s">
        <v>50</v>
      </c>
      <c r="B15" s="2" t="s">
        <v>11</v>
      </c>
      <c r="C15" s="11" t="s">
        <v>0</v>
      </c>
      <c r="D15" s="23">
        <v>7176</v>
      </c>
      <c r="E15" s="23">
        <v>8012</v>
      </c>
      <c r="F15" s="23">
        <v>7849</v>
      </c>
      <c r="G15" s="23">
        <v>7938</v>
      </c>
      <c r="H15" s="23">
        <v>8068</v>
      </c>
      <c r="I15" s="23">
        <v>8611</v>
      </c>
      <c r="J15" s="23">
        <v>9185</v>
      </c>
      <c r="K15" s="23">
        <v>10421</v>
      </c>
      <c r="L15" s="23">
        <v>11533</v>
      </c>
      <c r="M15" s="23">
        <v>11916</v>
      </c>
      <c r="N15" s="23">
        <v>12282</v>
      </c>
      <c r="O15" s="23">
        <v>13087</v>
      </c>
      <c r="P15" s="23">
        <v>13592</v>
      </c>
      <c r="Q15" s="23">
        <v>13930</v>
      </c>
      <c r="R15" s="23">
        <v>15478</v>
      </c>
      <c r="S15" s="23">
        <v>14138</v>
      </c>
      <c r="T15" s="23">
        <v>16086</v>
      </c>
      <c r="U15" s="23">
        <v>17039</v>
      </c>
      <c r="V15" s="33">
        <f>_xlfn.FORECAST.LINEAR(V$1,$D15:U15,$D$1:U$1)</f>
        <v>17018.084967320319</v>
      </c>
      <c r="W15" s="33">
        <f>_xlfn.FORECAST.LINEAR(W$1,$D15:V15,$D$1:V$1)</f>
        <v>17602.789817681769</v>
      </c>
      <c r="X15" s="33">
        <f>_xlfn.FORECAST.LINEAR(X$1,$D15:W15,$D$1:W$1)</f>
        <v>18187.494668042753</v>
      </c>
      <c r="Y15" s="33">
        <f>_xlfn.FORECAST.LINEAR(Y$1,$D15:X15,$D$1:X$1)</f>
        <v>18772.19951840397</v>
      </c>
      <c r="Z15" s="33">
        <f>_xlfn.FORECAST.LINEAR(Z$1,$D15:Y15,$D$1:Y$1)</f>
        <v>19356.904368765187</v>
      </c>
      <c r="AA15" s="33">
        <f>_xlfn.FORECAST.LINEAR(AA$1,$D15:Z15,$D$1:Z$1)*AVERAGE($L57:P57)</f>
        <v>21227.929484541037</v>
      </c>
      <c r="AB15" s="33">
        <f>_xlfn.FORECAST.LINEAR(AB$1,$D15:AA15,$D$1:AA$1)*AVERAGE($L57:Q57)</f>
        <v>21860.970245602417</v>
      </c>
      <c r="AC15" s="33">
        <f>_xlfn.FORECAST.LINEAR(AC$1,$D15:AB15,$D$1:AB$1)*AVERAGE($L57:R57)</f>
        <v>22726.365981841449</v>
      </c>
      <c r="AD15" s="33">
        <f>_xlfn.FORECAST.LINEAR(AD$1,$D15:AC15,$D$1:AC$1)*AVERAGE($L57:S57)</f>
        <v>23195.324518678171</v>
      </c>
      <c r="AE15" s="33">
        <f>_xlfn.FORECAST.LINEAR(AE$1,$D15:AD15,$D$1:AD$1)*AVERAGE($L57:T57)</f>
        <v>23952.219983739418</v>
      </c>
      <c r="AF15" s="33">
        <f>_xlfn.FORECAST.LINEAR(AF$1,$D15:AE15,$D$1:AE$1)*AVERAGE($L57:U57)</f>
        <v>24753.279708273061</v>
      </c>
    </row>
    <row r="16" spans="1:32" ht="15" customHeight="1" x14ac:dyDescent="0.25">
      <c r="C16" s="11" t="s">
        <v>1</v>
      </c>
      <c r="D16" s="23">
        <v>6949</v>
      </c>
      <c r="E16" s="23">
        <v>7240</v>
      </c>
      <c r="F16" s="23">
        <v>6438</v>
      </c>
      <c r="G16" s="23">
        <v>7146</v>
      </c>
      <c r="H16" s="23">
        <v>7253</v>
      </c>
      <c r="I16" s="23">
        <v>7504</v>
      </c>
      <c r="J16" s="23">
        <v>8303</v>
      </c>
      <c r="K16" s="23">
        <v>8559</v>
      </c>
      <c r="L16" s="23">
        <v>9311</v>
      </c>
      <c r="M16" s="23">
        <v>9530</v>
      </c>
      <c r="N16" s="23">
        <v>10369</v>
      </c>
      <c r="O16" s="23">
        <v>10623</v>
      </c>
      <c r="P16" s="23">
        <v>11198</v>
      </c>
      <c r="Q16" s="23">
        <v>12355</v>
      </c>
      <c r="R16" s="23">
        <v>13506</v>
      </c>
      <c r="S16" s="23">
        <v>13371</v>
      </c>
      <c r="T16" s="23">
        <v>14605</v>
      </c>
      <c r="U16" s="23">
        <v>17392</v>
      </c>
      <c r="V16" s="33">
        <f>_xlfn.FORECAST.LINEAR(V$1,$D16:U16,$D$1:U$1)</f>
        <v>15357.660130718956</v>
      </c>
      <c r="W16" s="33">
        <f>_xlfn.FORECAST.LINEAR(W$1,$D16:V16,$D$1:V$1)</f>
        <v>15911.963536291616</v>
      </c>
      <c r="X16" s="33">
        <f>_xlfn.FORECAST.LINEAR(X$1,$D16:W16,$D$1:W$1)</f>
        <v>16466.266941864276</v>
      </c>
      <c r="Y16" s="33">
        <f>_xlfn.FORECAST.LINEAR(Y$1,$D16:X16,$D$1:X$1)</f>
        <v>17020.570347437402</v>
      </c>
      <c r="Z16" s="33">
        <f>_xlfn.FORECAST.LINEAR(Z$1,$D16:Y16,$D$1:Y$1)</f>
        <v>17574.873753010063</v>
      </c>
      <c r="AA16" s="33">
        <f>_xlfn.FORECAST.LINEAR(AA$1,$D16:Z16,$D$1:Z$1)*AVERAGE($L58:P58)</f>
        <v>19303.001223593445</v>
      </c>
      <c r="AB16" s="33">
        <f>_xlfn.FORECAST.LINEAR(AB$1,$D16:AA16,$D$1:AA$1)*AVERAGE($L58:Q58)</f>
        <v>20221.038257481152</v>
      </c>
      <c r="AC16" s="33">
        <f>_xlfn.FORECAST.LINEAR(AC$1,$D16:AB16,$D$1:AB$1)*AVERAGE($L58:R58)</f>
        <v>21231.360476659029</v>
      </c>
      <c r="AD16" s="33">
        <f>_xlfn.FORECAST.LINEAR(AD$1,$D16:AC16,$D$1:AC$1)*AVERAGE($L58:S58)</f>
        <v>22034.464024031746</v>
      </c>
      <c r="AE16" s="33">
        <f>_xlfn.FORECAST.LINEAR(AE$1,$D16:AD16,$D$1:AD$1)*AVERAGE($L58:T58)</f>
        <v>22957.109963361181</v>
      </c>
      <c r="AF16" s="33">
        <f>_xlfn.FORECAST.LINEAR(AF$1,$D16:AE16,$D$1:AE$1)*AVERAGE($L58:U58)</f>
        <v>24200.805530678845</v>
      </c>
    </row>
    <row r="17" spans="1:32" ht="15" customHeight="1" x14ac:dyDescent="0.25">
      <c r="C17" s="11" t="s">
        <v>2</v>
      </c>
      <c r="D17" s="23">
        <v>7289</v>
      </c>
      <c r="E17" s="23">
        <v>8169</v>
      </c>
      <c r="F17" s="23">
        <v>7669</v>
      </c>
      <c r="G17" s="23">
        <v>7064</v>
      </c>
      <c r="H17" s="23">
        <v>7504</v>
      </c>
      <c r="I17" s="23">
        <v>8085</v>
      </c>
      <c r="J17" s="23">
        <v>8475</v>
      </c>
      <c r="K17" s="23">
        <v>9246</v>
      </c>
      <c r="L17" s="23">
        <v>10666</v>
      </c>
      <c r="M17" s="23">
        <v>11170</v>
      </c>
      <c r="N17" s="23">
        <v>11533</v>
      </c>
      <c r="O17" s="23">
        <v>13040</v>
      </c>
      <c r="P17" s="23">
        <v>13589</v>
      </c>
      <c r="Q17" s="23">
        <v>14985</v>
      </c>
      <c r="R17" s="23">
        <v>14989</v>
      </c>
      <c r="S17" s="23">
        <v>14889</v>
      </c>
      <c r="T17" s="23">
        <v>14915</v>
      </c>
      <c r="U17" s="23">
        <v>15425</v>
      </c>
      <c r="V17" s="33">
        <f>_xlfn.FORECAST.LINEAR(V$1,$D17:U17,$D$1:U$1)</f>
        <v>16495.70588235301</v>
      </c>
      <c r="W17" s="33">
        <f>_xlfn.FORECAST.LINEAR(W$1,$D17:V17,$D$1:V$1)</f>
        <v>17070.095975232078</v>
      </c>
      <c r="X17" s="33">
        <f>_xlfn.FORECAST.LINEAR(X$1,$D17:W17,$D$1:W$1)</f>
        <v>17644.486068111612</v>
      </c>
      <c r="Y17" s="33">
        <f>_xlfn.FORECAST.LINEAR(Y$1,$D17:X17,$D$1:X$1)</f>
        <v>18218.87616099068</v>
      </c>
      <c r="Z17" s="33">
        <f>_xlfn.FORECAST.LINEAR(Z$1,$D17:Y17,$D$1:Y$1)</f>
        <v>18793.266253869981</v>
      </c>
      <c r="AA17" s="33">
        <f>_xlfn.FORECAST.LINEAR(AA$1,$D17:Z17,$D$1:Z$1)*AVERAGE($L59:P59)</f>
        <v>21918.444918123783</v>
      </c>
      <c r="AB17" s="33">
        <f>_xlfn.FORECAST.LINEAR(AB$1,$D17:AA17,$D$1:AA$1)*AVERAGE($L59:Q59)</f>
        <v>23048.007572914012</v>
      </c>
      <c r="AC17" s="33">
        <f>_xlfn.FORECAST.LINEAR(AC$1,$D17:AB17,$D$1:AB$1)*AVERAGE($L59:R59)</f>
        <v>23962.023587708478</v>
      </c>
      <c r="AD17" s="33">
        <f>_xlfn.FORECAST.LINEAR(AD$1,$D17:AC17,$D$1:AC$1)*AVERAGE($L59:S59)</f>
        <v>24737.154187033942</v>
      </c>
      <c r="AE17" s="33">
        <f>_xlfn.FORECAST.LINEAR(AE$1,$D17:AD17,$D$1:AD$1)*AVERAGE($L59:T59)</f>
        <v>25444.396780200044</v>
      </c>
      <c r="AF17" s="33">
        <f>_xlfn.FORECAST.LINEAR(AF$1,$D17:AE17,$D$1:AE$1)*AVERAGE($L59:U59)</f>
        <v>26176.980758984511</v>
      </c>
    </row>
    <row r="18" spans="1:32" ht="15" customHeight="1" x14ac:dyDescent="0.25">
      <c r="A18" s="10" t="s">
        <v>50</v>
      </c>
      <c r="B18" s="2" t="s">
        <v>13</v>
      </c>
      <c r="C18" s="11" t="s">
        <v>0</v>
      </c>
      <c r="D18" s="23">
        <v>6109</v>
      </c>
      <c r="E18" s="23">
        <v>6960</v>
      </c>
      <c r="F18" s="23">
        <v>6911</v>
      </c>
      <c r="G18" s="23">
        <v>7117</v>
      </c>
      <c r="H18" s="23">
        <v>7221</v>
      </c>
      <c r="I18" s="23">
        <v>7645</v>
      </c>
      <c r="J18" s="23">
        <v>8008</v>
      </c>
      <c r="K18" s="23">
        <v>9131</v>
      </c>
      <c r="L18" s="23">
        <v>10114</v>
      </c>
      <c r="M18" s="23">
        <v>10603</v>
      </c>
      <c r="N18" s="23">
        <v>11049</v>
      </c>
      <c r="O18" s="23">
        <v>11779</v>
      </c>
      <c r="P18" s="23">
        <v>12113</v>
      </c>
      <c r="Q18" s="23">
        <v>12453</v>
      </c>
      <c r="R18" s="23">
        <v>13896</v>
      </c>
      <c r="S18" s="23">
        <v>12795</v>
      </c>
      <c r="T18" s="23">
        <v>14214</v>
      </c>
      <c r="U18" s="23">
        <v>15454</v>
      </c>
      <c r="V18" s="33">
        <f>_xlfn.FORECAST.LINEAR(V$1,$D18:U18,$D$1:U$1)</f>
        <v>15318.032679738477</v>
      </c>
      <c r="W18" s="33">
        <f>_xlfn.FORECAST.LINEAR(W$1,$D18:V18,$D$1:V$1)</f>
        <v>15856.936704506399</v>
      </c>
      <c r="X18" s="33">
        <f>_xlfn.FORECAST.LINEAR(X$1,$D18:W18,$D$1:W$1)</f>
        <v>16395.840729274089</v>
      </c>
      <c r="Y18" s="33">
        <f>_xlfn.FORECAST.LINEAR(Y$1,$D18:X18,$D$1:X$1)</f>
        <v>16934.744754041778</v>
      </c>
      <c r="Z18" s="33">
        <f>_xlfn.FORECAST.LINEAR(Z$1,$D18:Y18,$D$1:Y$1)</f>
        <v>17473.648778809933</v>
      </c>
      <c r="AA18" s="33">
        <f>_xlfn.FORECAST.LINEAR(AA$1,$D18:Z18,$D$1:Z$1)*AVERAGE($L60:P60)</f>
        <v>19225.885008849451</v>
      </c>
      <c r="AB18" s="33">
        <f>_xlfn.FORECAST.LINEAR(AB$1,$D18:AA18,$D$1:AA$1)*AVERAGE($L60:Q60)</f>
        <v>19805.011286797329</v>
      </c>
      <c r="AC18" s="33">
        <f>_xlfn.FORECAST.LINEAR(AC$1,$D18:AB18,$D$1:AB$1)*AVERAGE($L60:R60)</f>
        <v>20605.954133342781</v>
      </c>
      <c r="AD18" s="33">
        <f>_xlfn.FORECAST.LINEAR(AD$1,$D18:AC18,$D$1:AC$1)*AVERAGE($L60:S60)</f>
        <v>21063.142638312056</v>
      </c>
      <c r="AE18" s="33">
        <f>_xlfn.FORECAST.LINEAR(AE$1,$D18:AD18,$D$1:AD$1)*AVERAGE($L60:T60)</f>
        <v>21719.4175499665</v>
      </c>
      <c r="AF18" s="33">
        <f>_xlfn.FORECAST.LINEAR(AF$1,$D18:AE18,$D$1:AE$1)*AVERAGE($L60:U60)</f>
        <v>22481.328351330332</v>
      </c>
    </row>
    <row r="19" spans="1:32" ht="15" customHeight="1" x14ac:dyDescent="0.25">
      <c r="C19" s="11" t="s">
        <v>1</v>
      </c>
      <c r="D19" s="23">
        <v>6097</v>
      </c>
      <c r="E19" s="23">
        <v>6455</v>
      </c>
      <c r="F19" s="23">
        <v>6090</v>
      </c>
      <c r="G19" s="23">
        <v>6465</v>
      </c>
      <c r="H19" s="23">
        <v>6278</v>
      </c>
      <c r="I19" s="23">
        <v>6621</v>
      </c>
      <c r="J19" s="23">
        <v>7235</v>
      </c>
      <c r="K19" s="23">
        <v>7414</v>
      </c>
      <c r="L19" s="23">
        <v>8326</v>
      </c>
      <c r="M19" s="23">
        <v>8306</v>
      </c>
      <c r="N19" s="23">
        <v>8637</v>
      </c>
      <c r="O19" s="23">
        <v>9361</v>
      </c>
      <c r="P19" s="23">
        <v>9842</v>
      </c>
      <c r="Q19" s="23">
        <v>10419</v>
      </c>
      <c r="R19" s="23">
        <v>11145</v>
      </c>
      <c r="S19" s="23">
        <v>11473</v>
      </c>
      <c r="T19" s="23">
        <v>12800</v>
      </c>
      <c r="U19" s="23">
        <v>15108</v>
      </c>
      <c r="V19" s="33">
        <f>_xlfn.FORECAST.LINEAR(V$1,$D19:U19,$D$1:U$1)</f>
        <v>13133.895424836548</v>
      </c>
      <c r="W19" s="33">
        <f>_xlfn.FORECAST.LINEAR(W$1,$D19:V19,$D$1:V$1)</f>
        <v>13592.013071895344</v>
      </c>
      <c r="X19" s="33">
        <f>_xlfn.FORECAST.LINEAR(X$1,$D19:W19,$D$1:W$1)</f>
        <v>14050.130718954257</v>
      </c>
      <c r="Y19" s="33">
        <f>_xlfn.FORECAST.LINEAR(Y$1,$D19:X19,$D$1:X$1)</f>
        <v>14508.248366013169</v>
      </c>
      <c r="Z19" s="33">
        <f>_xlfn.FORECAST.LINEAR(Z$1,$D19:Y19,$D$1:Y$1)</f>
        <v>14966.366013071965</v>
      </c>
      <c r="AA19" s="33">
        <f>_xlfn.FORECAST.LINEAR(AA$1,$D19:Z19,$D$1:Z$1)*AVERAGE($L61:P61)</f>
        <v>16525.406970692715</v>
      </c>
      <c r="AB19" s="33">
        <f>_xlfn.FORECAST.LINEAR(AB$1,$D19:AA19,$D$1:AA$1)*AVERAGE($L61:Q61)</f>
        <v>17224.117756646199</v>
      </c>
      <c r="AC19" s="33">
        <f>_xlfn.FORECAST.LINEAR(AC$1,$D19:AB19,$D$1:AB$1)*AVERAGE($L61:R61)</f>
        <v>17971.657511734193</v>
      </c>
      <c r="AD19" s="33">
        <f>_xlfn.FORECAST.LINEAR(AD$1,$D19:AC19,$D$1:AC$1)*AVERAGE($L61:S61)</f>
        <v>18667.38192952087</v>
      </c>
      <c r="AE19" s="33">
        <f>_xlfn.FORECAST.LINEAR(AE$1,$D19:AD19,$D$1:AD$1)*AVERAGE($L61:T61)</f>
        <v>19510.308923833061</v>
      </c>
      <c r="AF19" s="33">
        <f>_xlfn.FORECAST.LINEAR(AF$1,$D19:AE19,$D$1:AE$1)*AVERAGE($L61:U61)</f>
        <v>20599.718486413862</v>
      </c>
    </row>
    <row r="20" spans="1:32" ht="15" customHeight="1" x14ac:dyDescent="0.25">
      <c r="C20" s="11" t="s">
        <v>2</v>
      </c>
      <c r="D20" s="23">
        <v>6373</v>
      </c>
      <c r="E20" s="23">
        <v>6977</v>
      </c>
      <c r="F20" s="23">
        <v>6749</v>
      </c>
      <c r="G20" s="23">
        <v>6318</v>
      </c>
      <c r="H20" s="23">
        <v>6484</v>
      </c>
      <c r="I20" s="23">
        <v>7242</v>
      </c>
      <c r="J20" s="23">
        <v>7671</v>
      </c>
      <c r="K20" s="23">
        <v>8096</v>
      </c>
      <c r="L20" s="23">
        <v>9165</v>
      </c>
      <c r="M20" s="23">
        <v>9359</v>
      </c>
      <c r="N20" s="23">
        <v>9744</v>
      </c>
      <c r="O20" s="23">
        <v>10618</v>
      </c>
      <c r="P20" s="23">
        <v>11279</v>
      </c>
      <c r="Q20" s="23">
        <v>12246</v>
      </c>
      <c r="R20" s="23">
        <v>12475</v>
      </c>
      <c r="S20" s="23">
        <v>12632</v>
      </c>
      <c r="T20" s="23">
        <v>13577</v>
      </c>
      <c r="U20" s="23">
        <v>14564</v>
      </c>
      <c r="V20" s="33">
        <f>_xlfn.FORECAST.LINEAR(V$1,$D20:U20,$D$1:U$1)</f>
        <v>14261.444444444496</v>
      </c>
      <c r="W20" s="33">
        <f>_xlfn.FORECAST.LINEAR(W$1,$D20:V20,$D$1:V$1)</f>
        <v>14759.321637426969</v>
      </c>
      <c r="X20" s="33">
        <f>_xlfn.FORECAST.LINEAR(X$1,$D20:W20,$D$1:W$1)</f>
        <v>15257.198830409441</v>
      </c>
      <c r="Y20" s="33">
        <f>_xlfn.FORECAST.LINEAR(Y$1,$D20:X20,$D$1:X$1)</f>
        <v>15755.076023391797</v>
      </c>
      <c r="Z20" s="33">
        <f>_xlfn.FORECAST.LINEAR(Z$1,$D20:Y20,$D$1:Y$1)</f>
        <v>16252.95321637427</v>
      </c>
      <c r="AA20" s="33">
        <f>_xlfn.FORECAST.LINEAR(AA$1,$D20:Z20,$D$1:Z$1)*AVERAGE($L62:P62)</f>
        <v>18321.354763043171</v>
      </c>
      <c r="AB20" s="33">
        <f>_xlfn.FORECAST.LINEAR(AB$1,$D20:AA20,$D$1:AA$1)*AVERAGE($L62:Q62)</f>
        <v>19196.598550444945</v>
      </c>
      <c r="AC20" s="33">
        <f>_xlfn.FORECAST.LINEAR(AC$1,$D20:AB20,$D$1:AB$1)*AVERAGE($L62:R62)</f>
        <v>19953.621681465051</v>
      </c>
      <c r="AD20" s="33">
        <f>_xlfn.FORECAST.LINEAR(AD$1,$D20:AC20,$D$1:AC$1)*AVERAGE($L62:S62)</f>
        <v>20632.648758778367</v>
      </c>
      <c r="AE20" s="33">
        <f>_xlfn.FORECAST.LINEAR(AE$1,$D20:AD20,$D$1:AD$1)*AVERAGE($L62:T62)</f>
        <v>21398.165194356141</v>
      </c>
      <c r="AF20" s="33">
        <f>_xlfn.FORECAST.LINEAR(AF$1,$D20:AE20,$D$1:AE$1)*AVERAGE($L62:U62)</f>
        <v>22227.670503974296</v>
      </c>
    </row>
    <row r="21" spans="1:32" ht="15" customHeight="1" x14ac:dyDescent="0.25">
      <c r="A21" s="2" t="s">
        <v>51</v>
      </c>
      <c r="D21" s="1"/>
      <c r="E21" s="1"/>
      <c r="F21" s="1"/>
      <c r="G21" s="1"/>
      <c r="H21" s="1"/>
      <c r="I21" s="1"/>
      <c r="J21" s="1"/>
      <c r="K21" s="1"/>
      <c r="L21" s="1"/>
    </row>
    <row r="22" spans="1:32" ht="15" customHeight="1" x14ac:dyDescent="0.25">
      <c r="D22" s="1"/>
      <c r="E22" s="1"/>
      <c r="F22" s="1"/>
      <c r="G22" s="1"/>
      <c r="H22" s="1"/>
      <c r="I22" s="1"/>
      <c r="J22" s="1"/>
      <c r="K22" s="1"/>
      <c r="L22" s="1"/>
    </row>
    <row r="23" spans="1:32" ht="15" customHeight="1" x14ac:dyDescent="0.25">
      <c r="A23" s="85" t="s">
        <v>55</v>
      </c>
      <c r="B23" s="86"/>
      <c r="C23" s="87"/>
      <c r="D23" s="1"/>
      <c r="E23" s="1"/>
      <c r="F23" s="1"/>
      <c r="G23" s="1"/>
      <c r="H23" s="1"/>
    </row>
    <row r="24" spans="1:32" ht="15" customHeight="1" x14ac:dyDescent="0.25">
      <c r="A24" s="10" t="s">
        <v>48</v>
      </c>
      <c r="B24" s="2" t="s">
        <v>11</v>
      </c>
      <c r="C24" s="11" t="s">
        <v>0</v>
      </c>
      <c r="D24" s="17" t="s">
        <v>58</v>
      </c>
      <c r="E24" s="17" t="s">
        <v>58</v>
      </c>
      <c r="F24" s="17" t="s">
        <v>58</v>
      </c>
      <c r="G24" s="17" t="s">
        <v>58</v>
      </c>
      <c r="H24" s="17" t="s">
        <v>58</v>
      </c>
      <c r="I24" s="17" t="s">
        <v>58</v>
      </c>
      <c r="J24" s="17" t="s">
        <v>58</v>
      </c>
      <c r="K24" s="17" t="s">
        <v>58</v>
      </c>
      <c r="L24" s="40">
        <f>_xlfn.FORECAST.LINEAR(L$1,$D3:K3,$D$1:K$1)</f>
        <v>13780.785714285681</v>
      </c>
      <c r="M24" s="40">
        <f>_xlfn.FORECAST.LINEAR(M$1,$D3:L3,$D$1:L$1)</f>
        <v>15191</v>
      </c>
      <c r="N24" s="40">
        <f>_xlfn.FORECAST.LINEAR(N$1,$D3:M3,$D$1:M$1)</f>
        <v>16073.133333333069</v>
      </c>
      <c r="O24" s="40">
        <f>_xlfn.FORECAST.LINEAR(O$1,$D3:N3,$D$1:N$1)</f>
        <v>16944.036363636376</v>
      </c>
      <c r="P24" s="40">
        <f>_xlfn.FORECAST.LINEAR(P$1,$D3:O3,$D$1:O$1)</f>
        <v>17902.196969696786</v>
      </c>
      <c r="Q24" s="40">
        <f>_xlfn.FORECAST.LINEAR(Q$1,$D3:P3,$D$1:P$1)</f>
        <v>18615.153846153757</v>
      </c>
      <c r="R24" s="40">
        <f>_xlfn.FORECAST.LINEAR(R$1,$D3:Q3,$D$1:Q$1)</f>
        <v>19437.39560439554</v>
      </c>
      <c r="S24" s="40">
        <f>_xlfn.FORECAST.LINEAR(S$1,$D3:R3,$D$1:R$1)</f>
        <v>20879.790476190392</v>
      </c>
      <c r="T24" s="40">
        <f>_xlfn.FORECAST.LINEAR(T$1,$D3:S3,$D$1:S$1)</f>
        <v>21499.975000000093</v>
      </c>
      <c r="U24" s="40">
        <f>_xlfn.FORECAST.LINEAR(U$1,$D3:T3,$D$1:T$1)</f>
        <v>22186.66911764699</v>
      </c>
      <c r="V24" s="17" t="s">
        <v>58</v>
      </c>
      <c r="W24" s="17" t="s">
        <v>58</v>
      </c>
      <c r="X24" s="17" t="s">
        <v>58</v>
      </c>
      <c r="Y24" s="17" t="s">
        <v>58</v>
      </c>
      <c r="Z24" s="17" t="s">
        <v>58</v>
      </c>
      <c r="AA24" s="17" t="s">
        <v>58</v>
      </c>
      <c r="AB24" s="17" t="s">
        <v>58</v>
      </c>
      <c r="AC24" s="17" t="s">
        <v>58</v>
      </c>
      <c r="AD24" s="17" t="s">
        <v>58</v>
      </c>
      <c r="AE24" s="17" t="s">
        <v>58</v>
      </c>
      <c r="AF24" s="17" t="s">
        <v>58</v>
      </c>
    </row>
    <row r="25" spans="1:32" ht="15" customHeight="1" x14ac:dyDescent="0.25">
      <c r="C25" s="11" t="s">
        <v>1</v>
      </c>
      <c r="D25" s="17" t="s">
        <v>58</v>
      </c>
      <c r="E25" s="17" t="s">
        <v>58</v>
      </c>
      <c r="F25" s="17" t="s">
        <v>58</v>
      </c>
      <c r="G25" s="17" t="s">
        <v>58</v>
      </c>
      <c r="H25" s="17" t="s">
        <v>58</v>
      </c>
      <c r="I25" s="17" t="s">
        <v>58</v>
      </c>
      <c r="J25" s="17" t="s">
        <v>58</v>
      </c>
      <c r="K25" s="17" t="s">
        <v>58</v>
      </c>
      <c r="L25" s="40">
        <f>_xlfn.FORECAST.LINEAR(L$1,$D4:K4,$D$1:K$1)</f>
        <v>9825.5</v>
      </c>
      <c r="M25" s="40">
        <f>_xlfn.FORECAST.LINEAR(M$1,$D4:L4,$D$1:L$1)</f>
        <v>11131.944444444496</v>
      </c>
      <c r="N25" s="40">
        <f>_xlfn.FORECAST.LINEAR(N$1,$D4:M4,$D$1:M$1)</f>
        <v>11999.466666666674</v>
      </c>
      <c r="O25" s="40">
        <f>_xlfn.FORECAST.LINEAR(O$1,$D4:N4,$D$1:N$1)</f>
        <v>13008.490909090848</v>
      </c>
      <c r="P25" s="40">
        <f>_xlfn.FORECAST.LINEAR(P$1,$D4:O4,$D$1:O$1)</f>
        <v>14152.545454545412</v>
      </c>
      <c r="Q25" s="40">
        <f>_xlfn.FORECAST.LINEAR(Q$1,$D4:P4,$D$1:P$1)</f>
        <v>14993.346153846011</v>
      </c>
      <c r="R25" s="40">
        <f>_xlfn.FORECAST.LINEAR(R$1,$D4:Q4,$D$1:Q$1)</f>
        <v>16053.615384615259</v>
      </c>
      <c r="S25" s="40">
        <f>_xlfn.FORECAST.LINEAR(S$1,$D4:R4,$D$1:R$1)</f>
        <v>17068.085714285495</v>
      </c>
      <c r="T25" s="40">
        <f>_xlfn.FORECAST.LINEAR(T$1,$D4:S4,$D$1:S$1)</f>
        <v>17909.65000000014</v>
      </c>
      <c r="U25" s="40">
        <f>_xlfn.FORECAST.LINEAR(U$1,$D4:T4,$D$1:T$1)</f>
        <v>19080.433823529398</v>
      </c>
      <c r="V25" s="17" t="s">
        <v>58</v>
      </c>
      <c r="W25" s="17" t="s">
        <v>58</v>
      </c>
      <c r="X25" s="17" t="s">
        <v>58</v>
      </c>
      <c r="Y25" s="17" t="s">
        <v>58</v>
      </c>
      <c r="Z25" s="17" t="s">
        <v>58</v>
      </c>
      <c r="AA25" s="17" t="s">
        <v>58</v>
      </c>
      <c r="AB25" s="17" t="s">
        <v>58</v>
      </c>
      <c r="AC25" s="17" t="s">
        <v>58</v>
      </c>
      <c r="AD25" s="17" t="s">
        <v>58</v>
      </c>
      <c r="AE25" s="17" t="s">
        <v>58</v>
      </c>
      <c r="AF25" s="17" t="s">
        <v>58</v>
      </c>
    </row>
    <row r="26" spans="1:32" ht="15" customHeight="1" x14ac:dyDescent="0.25">
      <c r="C26" s="11" t="s">
        <v>2</v>
      </c>
      <c r="D26" s="17" t="s">
        <v>58</v>
      </c>
      <c r="E26" s="17" t="s">
        <v>58</v>
      </c>
      <c r="F26" s="17" t="s">
        <v>58</v>
      </c>
      <c r="G26" s="17" t="s">
        <v>58</v>
      </c>
      <c r="H26" s="17" t="s">
        <v>58</v>
      </c>
      <c r="I26" s="17" t="s">
        <v>58</v>
      </c>
      <c r="J26" s="17" t="s">
        <v>58</v>
      </c>
      <c r="K26" s="17" t="s">
        <v>58</v>
      </c>
      <c r="L26" s="40">
        <f>_xlfn.FORECAST.LINEAR(L$1,$D5:K5,$D$1:K$1)</f>
        <v>10830.785714285681</v>
      </c>
      <c r="M26" s="40">
        <f>_xlfn.FORECAST.LINEAR(M$1,$D5:L5,$D$1:L$1)</f>
        <v>12368.666666666744</v>
      </c>
      <c r="N26" s="40">
        <f>_xlfn.FORECAST.LINEAR(N$1,$D5:M5,$D$1:M$1)</f>
        <v>13770.866666666698</v>
      </c>
      <c r="O26" s="40">
        <f>_xlfn.FORECAST.LINEAR(O$1,$D5:N5,$D$1:N$1)</f>
        <v>14996.254545454402</v>
      </c>
      <c r="P26" s="40">
        <f>_xlfn.FORECAST.LINEAR(P$1,$D5:O5,$D$1:O$1)</f>
        <v>15982.045454545412</v>
      </c>
      <c r="Q26" s="40">
        <f>_xlfn.FORECAST.LINEAR(Q$1,$D5:P5,$D$1:P$1)</f>
        <v>17204.923076923005</v>
      </c>
      <c r="R26" s="40">
        <f>_xlfn.FORECAST.LINEAR(R$1,$D5:Q5,$D$1:Q$1)</f>
        <v>18736.087912087794</v>
      </c>
      <c r="S26" s="40">
        <f>_xlfn.FORECAST.LINEAR(S$1,$D5:R5,$D$1:R$1)</f>
        <v>20231.714285714319</v>
      </c>
      <c r="T26" s="40">
        <f>_xlfn.FORECAST.LINEAR(T$1,$D5:S5,$D$1:S$1)</f>
        <v>21326.72499999986</v>
      </c>
      <c r="U26" s="40">
        <f>_xlfn.FORECAST.LINEAR(U$1,$D5:T5,$D$1:T$1)</f>
        <v>22452.242647058796</v>
      </c>
      <c r="V26" s="17" t="s">
        <v>58</v>
      </c>
      <c r="W26" s="17" t="s">
        <v>58</v>
      </c>
      <c r="X26" s="17" t="s">
        <v>58</v>
      </c>
      <c r="Y26" s="17" t="s">
        <v>58</v>
      </c>
      <c r="Z26" s="17" t="s">
        <v>58</v>
      </c>
      <c r="AA26" s="17" t="s">
        <v>58</v>
      </c>
      <c r="AB26" s="17" t="s">
        <v>58</v>
      </c>
      <c r="AC26" s="17" t="s">
        <v>58</v>
      </c>
      <c r="AD26" s="17" t="s">
        <v>58</v>
      </c>
      <c r="AE26" s="17" t="s">
        <v>58</v>
      </c>
      <c r="AF26" s="17" t="s">
        <v>58</v>
      </c>
    </row>
    <row r="27" spans="1:32" ht="15" customHeight="1" x14ac:dyDescent="0.25">
      <c r="A27" s="10" t="s">
        <v>48</v>
      </c>
      <c r="B27" s="2" t="s">
        <v>13</v>
      </c>
      <c r="C27" s="11" t="s">
        <v>0</v>
      </c>
      <c r="D27" s="17" t="s">
        <v>58</v>
      </c>
      <c r="E27" s="17" t="s">
        <v>58</v>
      </c>
      <c r="F27" s="17" t="s">
        <v>58</v>
      </c>
      <c r="G27" s="17" t="s">
        <v>58</v>
      </c>
      <c r="H27" s="17" t="s">
        <v>58</v>
      </c>
      <c r="I27" s="17" t="s">
        <v>58</v>
      </c>
      <c r="J27" s="17" t="s">
        <v>58</v>
      </c>
      <c r="K27" s="17" t="s">
        <v>58</v>
      </c>
      <c r="L27" s="40">
        <f>_xlfn.FORECAST.LINEAR(L$1,$D6:K6,$D$1:K$1)</f>
        <v>13666.964285714319</v>
      </c>
      <c r="M27" s="40">
        <f>_xlfn.FORECAST.LINEAR(M$1,$D6:L6,$D$1:L$1)</f>
        <v>15098.444444444496</v>
      </c>
      <c r="N27" s="40">
        <f>_xlfn.FORECAST.LINEAR(N$1,$D6:M6,$D$1:M$1)</f>
        <v>16182.600000000093</v>
      </c>
      <c r="O27" s="40">
        <f>_xlfn.FORECAST.LINEAR(O$1,$D6:N6,$D$1:N$1)</f>
        <v>17271.109090908896</v>
      </c>
      <c r="P27" s="40">
        <f>_xlfn.FORECAST.LINEAR(P$1,$D6:O6,$D$1:O$1)</f>
        <v>18345.287878787844</v>
      </c>
      <c r="Q27" s="40">
        <f>_xlfn.FORECAST.LINEAR(Q$1,$D6:P6,$D$1:P$1)</f>
        <v>19158.730769230751</v>
      </c>
      <c r="R27" s="40">
        <f>_xlfn.FORECAST.LINEAR(R$1,$D6:Q6,$D$1:Q$1)</f>
        <v>19916.45054945047</v>
      </c>
      <c r="S27" s="40">
        <f>_xlfn.FORECAST.LINEAR(S$1,$D6:R6,$D$1:R$1)</f>
        <v>21457.933333333349</v>
      </c>
      <c r="T27" s="40">
        <f>_xlfn.FORECAST.LINEAR(T$1,$D6:S6,$D$1:S$1)</f>
        <v>21931</v>
      </c>
      <c r="U27" s="40">
        <f>_xlfn.FORECAST.LINEAR(U$1,$D6:T6,$D$1:T$1)</f>
        <v>22514.389705882408</v>
      </c>
      <c r="V27" s="17" t="s">
        <v>58</v>
      </c>
      <c r="W27" s="17" t="s">
        <v>58</v>
      </c>
      <c r="X27" s="17" t="s">
        <v>58</v>
      </c>
      <c r="Y27" s="17" t="s">
        <v>58</v>
      </c>
      <c r="Z27" s="17" t="s">
        <v>58</v>
      </c>
      <c r="AA27" s="17" t="s">
        <v>58</v>
      </c>
      <c r="AB27" s="17" t="s">
        <v>58</v>
      </c>
      <c r="AC27" s="17" t="s">
        <v>58</v>
      </c>
      <c r="AD27" s="17" t="s">
        <v>58</v>
      </c>
      <c r="AE27" s="17" t="s">
        <v>58</v>
      </c>
      <c r="AF27" s="17" t="s">
        <v>58</v>
      </c>
    </row>
    <row r="28" spans="1:32" ht="15" customHeight="1" x14ac:dyDescent="0.25">
      <c r="C28" s="11" t="s">
        <v>1</v>
      </c>
      <c r="D28" s="17" t="s">
        <v>58</v>
      </c>
      <c r="E28" s="17" t="s">
        <v>58</v>
      </c>
      <c r="F28" s="17" t="s">
        <v>58</v>
      </c>
      <c r="G28" s="17" t="s">
        <v>58</v>
      </c>
      <c r="H28" s="17" t="s">
        <v>58</v>
      </c>
      <c r="I28" s="17" t="s">
        <v>58</v>
      </c>
      <c r="J28" s="17" t="s">
        <v>58</v>
      </c>
      <c r="K28" s="17" t="s">
        <v>58</v>
      </c>
      <c r="L28" s="40">
        <f>_xlfn.FORECAST.LINEAR(L$1,$D7:K7,$D$1:K$1)</f>
        <v>9426.9285714285797</v>
      </c>
      <c r="M28" s="40">
        <f>_xlfn.FORECAST.LINEAR(M$1,$D7:L7,$D$1:L$1)</f>
        <v>10797.666666666628</v>
      </c>
      <c r="N28" s="40">
        <f>_xlfn.FORECAST.LINEAR(N$1,$D7:M7,$D$1:M$1)</f>
        <v>11719.800000000047</v>
      </c>
      <c r="O28" s="40">
        <f>_xlfn.FORECAST.LINEAR(O$1,$D7:N7,$D$1:N$1)</f>
        <v>12730.400000000023</v>
      </c>
      <c r="P28" s="40">
        <f>_xlfn.FORECAST.LINEAR(P$1,$D7:O7,$D$1:O$1)</f>
        <v>13954.060606060317</v>
      </c>
      <c r="Q28" s="40">
        <f>_xlfn.FORECAST.LINEAR(Q$1,$D7:P7,$D$1:P$1)</f>
        <v>14819.230769230751</v>
      </c>
      <c r="R28" s="40">
        <f>_xlfn.FORECAST.LINEAR(R$1,$D7:Q7,$D$1:Q$1)</f>
        <v>15656.274725274649</v>
      </c>
      <c r="S28" s="40">
        <f>_xlfn.FORECAST.LINEAR(S$1,$D7:R7,$D$1:R$1)</f>
        <v>16518.895238095196</v>
      </c>
      <c r="T28" s="40">
        <f>_xlfn.FORECAST.LINEAR(T$1,$D7:S7,$D$1:S$1)</f>
        <v>17289.100000000093</v>
      </c>
      <c r="U28" s="40">
        <f>_xlfn.FORECAST.LINEAR(U$1,$D7:T7,$D$1:T$1)</f>
        <v>18344.29411764699</v>
      </c>
      <c r="V28" s="17" t="s">
        <v>58</v>
      </c>
      <c r="W28" s="17" t="s">
        <v>58</v>
      </c>
      <c r="X28" s="17" t="s">
        <v>58</v>
      </c>
      <c r="Y28" s="17" t="s">
        <v>58</v>
      </c>
      <c r="Z28" s="17" t="s">
        <v>58</v>
      </c>
      <c r="AA28" s="17" t="s">
        <v>58</v>
      </c>
      <c r="AB28" s="17" t="s">
        <v>58</v>
      </c>
      <c r="AC28" s="17" t="s">
        <v>58</v>
      </c>
      <c r="AD28" s="17" t="s">
        <v>58</v>
      </c>
      <c r="AE28" s="17" t="s">
        <v>58</v>
      </c>
      <c r="AF28" s="17" t="s">
        <v>58</v>
      </c>
    </row>
    <row r="29" spans="1:32" ht="15" customHeight="1" x14ac:dyDescent="0.25">
      <c r="C29" s="11" t="s">
        <v>2</v>
      </c>
      <c r="D29" s="17" t="s">
        <v>58</v>
      </c>
      <c r="E29" s="17" t="s">
        <v>58</v>
      </c>
      <c r="F29" s="17" t="s">
        <v>58</v>
      </c>
      <c r="G29" s="17" t="s">
        <v>58</v>
      </c>
      <c r="H29" s="17" t="s">
        <v>58</v>
      </c>
      <c r="I29" s="17" t="s">
        <v>58</v>
      </c>
      <c r="J29" s="17" t="s">
        <v>58</v>
      </c>
      <c r="K29" s="17" t="s">
        <v>58</v>
      </c>
      <c r="L29" s="40">
        <f>_xlfn.FORECAST.LINEAR(L$1,$D8:K8,$D$1:K$1)</f>
        <v>10911.428571428522</v>
      </c>
      <c r="M29" s="40">
        <f>_xlfn.FORECAST.LINEAR(M$1,$D8:L8,$D$1:L$1)</f>
        <v>12178.55555555562</v>
      </c>
      <c r="N29" s="40">
        <f>_xlfn.FORECAST.LINEAR(N$1,$D8:M8,$D$1:M$1)</f>
        <v>13154</v>
      </c>
      <c r="O29" s="40">
        <f>_xlfn.FORECAST.LINEAR(O$1,$D8:N8,$D$1:N$1)</f>
        <v>14208.327272727154</v>
      </c>
      <c r="P29" s="40">
        <f>_xlfn.FORECAST.LINEAR(P$1,$D8:O8,$D$1:O$1)</f>
        <v>15305.212121212156</v>
      </c>
      <c r="Q29" s="40">
        <f>_xlfn.FORECAST.LINEAR(Q$1,$D8:P8,$D$1:P$1)</f>
        <v>16505.999999999767</v>
      </c>
      <c r="R29" s="40">
        <f>_xlfn.FORECAST.LINEAR(R$1,$D8:Q8,$D$1:Q$1)</f>
        <v>17844.758241758216</v>
      </c>
      <c r="S29" s="40">
        <f>_xlfn.FORECAST.LINEAR(S$1,$D8:R8,$D$1:R$1)</f>
        <v>19161.419047618983</v>
      </c>
      <c r="T29" s="40">
        <f>_xlfn.FORECAST.LINEAR(T$1,$D8:S8,$D$1:S$1)</f>
        <v>20175.800000000047</v>
      </c>
      <c r="U29" s="40">
        <f>_xlfn.FORECAST.LINEAR(U$1,$D8:T8,$D$1:T$1)</f>
        <v>21131.882352941437</v>
      </c>
      <c r="V29" s="17" t="s">
        <v>58</v>
      </c>
      <c r="W29" s="17" t="s">
        <v>58</v>
      </c>
      <c r="X29" s="17" t="s">
        <v>58</v>
      </c>
      <c r="Y29" s="17" t="s">
        <v>58</v>
      </c>
      <c r="Z29" s="17" t="s">
        <v>58</v>
      </c>
      <c r="AA29" s="17" t="s">
        <v>58</v>
      </c>
      <c r="AB29" s="17" t="s">
        <v>58</v>
      </c>
      <c r="AC29" s="17" t="s">
        <v>58</v>
      </c>
      <c r="AD29" s="17" t="s">
        <v>58</v>
      </c>
      <c r="AE29" s="17" t="s">
        <v>58</v>
      </c>
      <c r="AF29" s="17" t="s">
        <v>58</v>
      </c>
    </row>
    <row r="30" spans="1:32" ht="15" customHeight="1" x14ac:dyDescent="0.25">
      <c r="A30" s="10" t="s">
        <v>16</v>
      </c>
      <c r="B30" s="2" t="s">
        <v>11</v>
      </c>
      <c r="C30" s="11" t="s">
        <v>0</v>
      </c>
      <c r="D30" s="17" t="s">
        <v>58</v>
      </c>
      <c r="E30" s="17" t="s">
        <v>58</v>
      </c>
      <c r="F30" s="17" t="s">
        <v>58</v>
      </c>
      <c r="G30" s="17" t="s">
        <v>58</v>
      </c>
      <c r="H30" s="17" t="s">
        <v>58</v>
      </c>
      <c r="I30" s="17" t="s">
        <v>58</v>
      </c>
      <c r="J30" s="17" t="s">
        <v>58</v>
      </c>
      <c r="K30" s="17" t="s">
        <v>58</v>
      </c>
      <c r="L30" s="40">
        <f>_xlfn.FORECAST.LINEAR(L$1,$D9:K9,$D$1:K$1)</f>
        <v>11440.428571428522</v>
      </c>
      <c r="M30" s="40">
        <f>_xlfn.FORECAST.LINEAR(M$1,$D9:L9,$D$1:L$1)</f>
        <v>13082.944444444496</v>
      </c>
      <c r="N30" s="40">
        <f>_xlfn.FORECAST.LINEAR(N$1,$D9:M9,$D$1:M$1)</f>
        <v>14265.866666666465</v>
      </c>
      <c r="O30" s="40">
        <f>_xlfn.FORECAST.LINEAR(O$1,$D9:N9,$D$1:N$1)</f>
        <v>15410.036363636376</v>
      </c>
      <c r="P30" s="40">
        <f>_xlfn.FORECAST.LINEAR(P$1,$D9:O9,$D$1:O$1)</f>
        <v>16334.075757575687</v>
      </c>
      <c r="Q30" s="40">
        <f>_xlfn.FORECAST.LINEAR(Q$1,$D9:P9,$D$1:P$1)</f>
        <v>17096.307692307746</v>
      </c>
      <c r="R30" s="40">
        <f>_xlfn.FORECAST.LINEAR(R$1,$D9:Q9,$D$1:Q$1)</f>
        <v>17684.0109890108</v>
      </c>
      <c r="S30" s="40">
        <f>_xlfn.FORECAST.LINEAR(S$1,$D9:R9,$D$1:R$1)</f>
        <v>18826.361904761754</v>
      </c>
      <c r="T30" s="40">
        <f>_xlfn.FORECAST.LINEAR(T$1,$D9:S9,$D$1:S$1)</f>
        <v>19256.424999999814</v>
      </c>
      <c r="U30" s="40">
        <f>_xlfn.FORECAST.LINEAR(U$1,$D9:T9,$D$1:T$1)</f>
        <v>19911.544117646758</v>
      </c>
      <c r="V30" s="17" t="s">
        <v>58</v>
      </c>
      <c r="W30" s="17" t="s">
        <v>58</v>
      </c>
      <c r="X30" s="17" t="s">
        <v>58</v>
      </c>
      <c r="Y30" s="17" t="s">
        <v>58</v>
      </c>
      <c r="Z30" s="17" t="s">
        <v>58</v>
      </c>
      <c r="AA30" s="17" t="s">
        <v>58</v>
      </c>
      <c r="AB30" s="17" t="s">
        <v>58</v>
      </c>
      <c r="AC30" s="17" t="s">
        <v>58</v>
      </c>
      <c r="AD30" s="17" t="s">
        <v>58</v>
      </c>
      <c r="AE30" s="17" t="s">
        <v>58</v>
      </c>
      <c r="AF30" s="17" t="s">
        <v>58</v>
      </c>
    </row>
    <row r="31" spans="1:32" ht="15" customHeight="1" x14ac:dyDescent="0.25">
      <c r="C31" s="11" t="s">
        <v>1</v>
      </c>
      <c r="D31" s="17" t="s">
        <v>58</v>
      </c>
      <c r="E31" s="17" t="s">
        <v>58</v>
      </c>
      <c r="F31" s="17" t="s">
        <v>58</v>
      </c>
      <c r="G31" s="17" t="s">
        <v>58</v>
      </c>
      <c r="H31" s="17" t="s">
        <v>58</v>
      </c>
      <c r="I31" s="17" t="s">
        <v>58</v>
      </c>
      <c r="J31" s="17" t="s">
        <v>58</v>
      </c>
      <c r="K31" s="17" t="s">
        <v>58</v>
      </c>
      <c r="L31" s="40">
        <f>_xlfn.FORECAST.LINEAR(L$1,$D10:K10,$D$1:K$1)</f>
        <v>8895.6785714285797</v>
      </c>
      <c r="M31" s="40">
        <f>_xlfn.FORECAST.LINEAR(M$1,$D10:L10,$D$1:L$1)</f>
        <v>9911</v>
      </c>
      <c r="N31" s="40">
        <f>_xlfn.FORECAST.LINEAR(N$1,$D10:M10,$D$1:M$1)</f>
        <v>10453.933333333232</v>
      </c>
      <c r="O31" s="40">
        <f>_xlfn.FORECAST.LINEAR(O$1,$D10:N10,$D$1:N$1)</f>
        <v>11270.090909090824</v>
      </c>
      <c r="P31" s="40">
        <f>_xlfn.FORECAST.LINEAR(P$1,$D10:O10,$D$1:O$1)</f>
        <v>12011.984848484863</v>
      </c>
      <c r="Q31" s="40">
        <f>_xlfn.FORECAST.LINEAR(Q$1,$D10:P10,$D$1:P$1)</f>
        <v>12719.69230769237</v>
      </c>
      <c r="R31" s="40">
        <f>_xlfn.FORECAST.LINEAR(R$1,$D10:Q10,$D$1:Q$1)</f>
        <v>13463.736263736268</v>
      </c>
      <c r="S31" s="40">
        <f>_xlfn.FORECAST.LINEAR(S$1,$D10:R10,$D$1:R$1)</f>
        <v>14354.238095238106</v>
      </c>
      <c r="T31" s="40">
        <f>_xlfn.FORECAST.LINEAR(T$1,$D10:S10,$D$1:S$1)</f>
        <v>15020.275000000023</v>
      </c>
      <c r="U31" s="40">
        <f>_xlfn.FORECAST.LINEAR(U$1,$D10:T10,$D$1:T$1)</f>
        <v>16021.257352941204</v>
      </c>
      <c r="V31" s="17" t="s">
        <v>58</v>
      </c>
      <c r="W31" s="17" t="s">
        <v>58</v>
      </c>
      <c r="X31" s="17" t="s">
        <v>58</v>
      </c>
      <c r="Y31" s="17" t="s">
        <v>58</v>
      </c>
      <c r="Z31" s="17" t="s">
        <v>58</v>
      </c>
      <c r="AA31" s="17" t="s">
        <v>58</v>
      </c>
      <c r="AB31" s="17" t="s">
        <v>58</v>
      </c>
      <c r="AC31" s="17" t="s">
        <v>58</v>
      </c>
      <c r="AD31" s="17" t="s">
        <v>58</v>
      </c>
      <c r="AE31" s="17" t="s">
        <v>58</v>
      </c>
      <c r="AF31" s="17" t="s">
        <v>58</v>
      </c>
    </row>
    <row r="32" spans="1:32" ht="15" customHeight="1" x14ac:dyDescent="0.25">
      <c r="C32" s="11" t="s">
        <v>2</v>
      </c>
      <c r="D32" s="17" t="s">
        <v>58</v>
      </c>
      <c r="E32" s="17" t="s">
        <v>58</v>
      </c>
      <c r="F32" s="17" t="s">
        <v>58</v>
      </c>
      <c r="G32" s="17" t="s">
        <v>58</v>
      </c>
      <c r="H32" s="17" t="s">
        <v>58</v>
      </c>
      <c r="I32" s="17" t="s">
        <v>58</v>
      </c>
      <c r="J32" s="17" t="s">
        <v>58</v>
      </c>
      <c r="K32" s="17" t="s">
        <v>58</v>
      </c>
      <c r="L32" s="40">
        <f>_xlfn.FORECAST.LINEAR(L$1,$D11:K11,$D$1:K$1)</f>
        <v>10385.321428571478</v>
      </c>
      <c r="M32" s="40">
        <f>_xlfn.FORECAST.LINEAR(M$1,$D11:L11,$D$1:L$1)</f>
        <v>11425.25</v>
      </c>
      <c r="N32" s="40">
        <f>_xlfn.FORECAST.LINEAR(N$1,$D11:M11,$D$1:M$1)</f>
        <v>12304.79999999993</v>
      </c>
      <c r="O32" s="40">
        <f>_xlfn.FORECAST.LINEAR(O$1,$D11:N11,$D$1:N$1)</f>
        <v>13302.072727272753</v>
      </c>
      <c r="P32" s="40">
        <f>_xlfn.FORECAST.LINEAR(P$1,$D11:O11,$D$1:O$1)</f>
        <v>14460.984848484863</v>
      </c>
      <c r="Q32" s="40">
        <f>_xlfn.FORECAST.LINEAR(Q$1,$D11:P11,$D$1:P$1)</f>
        <v>15683.423076923005</v>
      </c>
      <c r="R32" s="40">
        <f>_xlfn.FORECAST.LINEAR(R$1,$D11:Q11,$D$1:Q$1)</f>
        <v>16931.021978021832</v>
      </c>
      <c r="S32" s="40">
        <f>_xlfn.FORECAST.LINEAR(S$1,$D11:R11,$D$1:R$1)</f>
        <v>17662.609523809515</v>
      </c>
      <c r="T32" s="40">
        <f>_xlfn.FORECAST.LINEAR(T$1,$D11:S11,$D$1:S$1)</f>
        <v>18442.050000000047</v>
      </c>
      <c r="U32" s="40">
        <f>_xlfn.FORECAST.LINEAR(U$1,$D11:T11,$D$1:T$1)</f>
        <v>18723.992647059029</v>
      </c>
      <c r="V32" s="17" t="s">
        <v>58</v>
      </c>
      <c r="W32" s="17" t="s">
        <v>58</v>
      </c>
      <c r="X32" s="17" t="s">
        <v>58</v>
      </c>
      <c r="Y32" s="17" t="s">
        <v>58</v>
      </c>
      <c r="Z32" s="17" t="s">
        <v>58</v>
      </c>
      <c r="AA32" s="17" t="s">
        <v>58</v>
      </c>
      <c r="AB32" s="17" t="s">
        <v>58</v>
      </c>
      <c r="AC32" s="17" t="s">
        <v>58</v>
      </c>
      <c r="AD32" s="17" t="s">
        <v>58</v>
      </c>
      <c r="AE32" s="17" t="s">
        <v>58</v>
      </c>
      <c r="AF32" s="17" t="s">
        <v>58</v>
      </c>
    </row>
    <row r="33" spans="1:32" ht="15" customHeight="1" x14ac:dyDescent="0.25">
      <c r="A33" s="10" t="s">
        <v>16</v>
      </c>
      <c r="B33" s="2" t="s">
        <v>13</v>
      </c>
      <c r="C33" s="11" t="s">
        <v>0</v>
      </c>
      <c r="D33" s="17" t="s">
        <v>58</v>
      </c>
      <c r="E33" s="17" t="s">
        <v>58</v>
      </c>
      <c r="F33" s="17" t="s">
        <v>58</v>
      </c>
      <c r="G33" s="17" t="s">
        <v>58</v>
      </c>
      <c r="H33" s="17" t="s">
        <v>58</v>
      </c>
      <c r="I33" s="17" t="s">
        <v>58</v>
      </c>
      <c r="J33" s="17" t="s">
        <v>58</v>
      </c>
      <c r="K33" s="17" t="s">
        <v>58</v>
      </c>
      <c r="L33" s="40">
        <f>_xlfn.FORECAST.LINEAR(L$1,$D12:K12,$D$1:K$1)</f>
        <v>11632.392857142841</v>
      </c>
      <c r="M33" s="40">
        <f>_xlfn.FORECAST.LINEAR(M$1,$D12:L12,$D$1:L$1)</f>
        <v>13090.638888888992</v>
      </c>
      <c r="N33" s="40">
        <f>_xlfn.FORECAST.LINEAR(N$1,$D12:M12,$D$1:M$1)</f>
        <v>14230.933333333349</v>
      </c>
      <c r="O33" s="40">
        <f>_xlfn.FORECAST.LINEAR(O$1,$D12:N12,$D$1:N$1)</f>
        <v>15244.145454545273</v>
      </c>
      <c r="P33" s="40">
        <f>_xlfn.FORECAST.LINEAR(P$1,$D12:O12,$D$1:O$1)</f>
        <v>16081.893939394038</v>
      </c>
      <c r="Q33" s="40">
        <f>_xlfn.FORECAST.LINEAR(Q$1,$D12:P12,$D$1:P$1)</f>
        <v>16802.384615384508</v>
      </c>
      <c r="R33" s="40">
        <f>_xlfn.FORECAST.LINEAR(R$1,$D12:Q12,$D$1:Q$1)</f>
        <v>17523.109890109859</v>
      </c>
      <c r="S33" s="40">
        <f>_xlfn.FORECAST.LINEAR(S$1,$D12:R12,$D$1:R$1)</f>
        <v>18822.714285714552</v>
      </c>
      <c r="T33" s="40">
        <f>_xlfn.FORECAST.LINEAR(T$1,$D12:S12,$D$1:S$1)</f>
        <v>19401.175000000047</v>
      </c>
      <c r="U33" s="40">
        <f>_xlfn.FORECAST.LINEAR(U$1,$D12:T12,$D$1:T$1)</f>
        <v>20143.816176470602</v>
      </c>
      <c r="V33" s="17" t="s">
        <v>58</v>
      </c>
      <c r="W33" s="17" t="s">
        <v>58</v>
      </c>
      <c r="X33" s="17" t="s">
        <v>58</v>
      </c>
      <c r="Y33" s="17" t="s">
        <v>58</v>
      </c>
      <c r="Z33" s="17" t="s">
        <v>58</v>
      </c>
      <c r="AA33" s="17" t="s">
        <v>58</v>
      </c>
      <c r="AB33" s="17" t="s">
        <v>58</v>
      </c>
      <c r="AC33" s="17" t="s">
        <v>58</v>
      </c>
      <c r="AD33" s="17" t="s">
        <v>58</v>
      </c>
      <c r="AE33" s="17" t="s">
        <v>58</v>
      </c>
      <c r="AF33" s="17" t="s">
        <v>58</v>
      </c>
    </row>
    <row r="34" spans="1:32" ht="15" customHeight="1" x14ac:dyDescent="0.25">
      <c r="C34" s="11" t="s">
        <v>1</v>
      </c>
      <c r="D34" s="17" t="s">
        <v>58</v>
      </c>
      <c r="E34" s="17" t="s">
        <v>58</v>
      </c>
      <c r="F34" s="17" t="s">
        <v>58</v>
      </c>
      <c r="G34" s="17" t="s">
        <v>58</v>
      </c>
      <c r="H34" s="17" t="s">
        <v>58</v>
      </c>
      <c r="I34" s="17" t="s">
        <v>58</v>
      </c>
      <c r="J34" s="17" t="s">
        <v>58</v>
      </c>
      <c r="K34" s="17" t="s">
        <v>58</v>
      </c>
      <c r="L34" s="40">
        <f>_xlfn.FORECAST.LINEAR(L$1,$D13:K13,$D$1:K$1)</f>
        <v>9281.3214285714203</v>
      </c>
      <c r="M34" s="40">
        <f>_xlfn.FORECAST.LINEAR(M$1,$D13:L13,$D$1:L$1)</f>
        <v>10119.166666666744</v>
      </c>
      <c r="N34" s="40">
        <f>_xlfn.FORECAST.LINEAR(N$1,$D13:M13,$D$1:M$1)</f>
        <v>10672.866666666698</v>
      </c>
      <c r="O34" s="40">
        <f>_xlfn.FORECAST.LINEAR(O$1,$D13:N13,$D$1:N$1)</f>
        <v>11262.181818181765</v>
      </c>
      <c r="P34" s="40">
        <f>_xlfn.FORECAST.LINEAR(P$1,$D13:O13,$D$1:O$1)</f>
        <v>11932.454545454588</v>
      </c>
      <c r="Q34" s="40">
        <f>_xlfn.FORECAST.LINEAR(Q$1,$D13:P13,$D$1:P$1)</f>
        <v>12557.30769230763</v>
      </c>
      <c r="R34" s="40">
        <f>_xlfn.FORECAST.LINEAR(R$1,$D13:Q13,$D$1:Q$1)</f>
        <v>13272.736263736268</v>
      </c>
      <c r="S34" s="40">
        <f>_xlfn.FORECAST.LINEAR(S$1,$D13:R13,$D$1:R$1)</f>
        <v>13898.56190476194</v>
      </c>
      <c r="T34" s="40">
        <f>_xlfn.FORECAST.LINEAR(T$1,$D13:S13,$D$1:S$1)</f>
        <v>14486.125</v>
      </c>
      <c r="U34" s="40">
        <f>_xlfn.FORECAST.LINEAR(U$1,$D13:T13,$D$1:T$1)</f>
        <v>15371.941176470602</v>
      </c>
      <c r="V34" s="17" t="s">
        <v>58</v>
      </c>
      <c r="W34" s="17" t="s">
        <v>58</v>
      </c>
      <c r="X34" s="17" t="s">
        <v>58</v>
      </c>
      <c r="Y34" s="17" t="s">
        <v>58</v>
      </c>
      <c r="Z34" s="17" t="s">
        <v>58</v>
      </c>
      <c r="AA34" s="17" t="s">
        <v>58</v>
      </c>
      <c r="AB34" s="17" t="s">
        <v>58</v>
      </c>
      <c r="AC34" s="17" t="s">
        <v>58</v>
      </c>
      <c r="AD34" s="17" t="s">
        <v>58</v>
      </c>
      <c r="AE34" s="17" t="s">
        <v>58</v>
      </c>
      <c r="AF34" s="17" t="s">
        <v>58</v>
      </c>
    </row>
    <row r="35" spans="1:32" ht="15" customHeight="1" x14ac:dyDescent="0.25">
      <c r="C35" s="11" t="s">
        <v>2</v>
      </c>
      <c r="D35" s="17" t="s">
        <v>58</v>
      </c>
      <c r="E35" s="17" t="s">
        <v>58</v>
      </c>
      <c r="F35" s="17" t="s">
        <v>58</v>
      </c>
      <c r="G35" s="17" t="s">
        <v>58</v>
      </c>
      <c r="H35" s="17" t="s">
        <v>58</v>
      </c>
      <c r="I35" s="17" t="s">
        <v>58</v>
      </c>
      <c r="J35" s="17" t="s">
        <v>58</v>
      </c>
      <c r="K35" s="17" t="s">
        <v>58</v>
      </c>
      <c r="L35" s="40">
        <f>_xlfn.FORECAST.LINEAR(L$1,$D14:K14,$D$1:K$1)</f>
        <v>9725.5714285714203</v>
      </c>
      <c r="M35" s="40">
        <f>_xlfn.FORECAST.LINEAR(M$1,$D14:L14,$D$1:L$1)</f>
        <v>11170.944444444496</v>
      </c>
      <c r="N35" s="40">
        <f>_xlfn.FORECAST.LINEAR(N$1,$D14:M14,$D$1:M$1)</f>
        <v>12164.066666666651</v>
      </c>
      <c r="O35" s="40">
        <f>_xlfn.FORECAST.LINEAR(O$1,$D14:N14,$D$1:N$1)</f>
        <v>12993.836363636423</v>
      </c>
      <c r="P35" s="40">
        <f>_xlfn.FORECAST.LINEAR(P$1,$D14:O14,$D$1:O$1)</f>
        <v>14075.333333333256</v>
      </c>
      <c r="Q35" s="40">
        <f>_xlfn.FORECAST.LINEAR(Q$1,$D14:P14,$D$1:P$1)</f>
        <v>14969.423076923005</v>
      </c>
      <c r="R35" s="40">
        <f>_xlfn.FORECAST.LINEAR(R$1,$D14:Q14,$D$1:Q$1)</f>
        <v>16250.43956043967</v>
      </c>
      <c r="S35" s="40">
        <f>_xlfn.FORECAST.LINEAR(S$1,$D14:R14,$D$1:R$1)</f>
        <v>17222.628571428591</v>
      </c>
      <c r="T35" s="40">
        <f>_xlfn.FORECAST.LINEAR(T$1,$D14:S14,$D$1:S$1)</f>
        <v>17942.850000000093</v>
      </c>
      <c r="U35" s="40">
        <f>_xlfn.FORECAST.LINEAR(U$1,$D14:T14,$D$1:T$1)</f>
        <v>18617.301470587961</v>
      </c>
      <c r="V35" s="17" t="s">
        <v>58</v>
      </c>
      <c r="W35" s="17" t="s">
        <v>58</v>
      </c>
      <c r="X35" s="17" t="s">
        <v>58</v>
      </c>
      <c r="Y35" s="17" t="s">
        <v>58</v>
      </c>
      <c r="Z35" s="17" t="s">
        <v>58</v>
      </c>
      <c r="AA35" s="17" t="s">
        <v>58</v>
      </c>
      <c r="AB35" s="17" t="s">
        <v>58</v>
      </c>
      <c r="AC35" s="17" t="s">
        <v>58</v>
      </c>
      <c r="AD35" s="17" t="s">
        <v>58</v>
      </c>
      <c r="AE35" s="17" t="s">
        <v>58</v>
      </c>
      <c r="AF35" s="17" t="s">
        <v>58</v>
      </c>
    </row>
    <row r="36" spans="1:32" ht="15" customHeight="1" x14ac:dyDescent="0.25">
      <c r="A36" s="10" t="s">
        <v>50</v>
      </c>
      <c r="B36" s="2" t="s">
        <v>11</v>
      </c>
      <c r="C36" s="11" t="s">
        <v>0</v>
      </c>
      <c r="D36" s="17" t="s">
        <v>58</v>
      </c>
      <c r="E36" s="17" t="s">
        <v>58</v>
      </c>
      <c r="F36" s="17" t="s">
        <v>58</v>
      </c>
      <c r="G36" s="17" t="s">
        <v>58</v>
      </c>
      <c r="H36" s="17" t="s">
        <v>58</v>
      </c>
      <c r="I36" s="17" t="s">
        <v>58</v>
      </c>
      <c r="J36" s="17" t="s">
        <v>58</v>
      </c>
      <c r="K36" s="17" t="s">
        <v>58</v>
      </c>
      <c r="L36" s="40">
        <f>_xlfn.FORECAST.LINEAR(L$1,$D15:K15,$D$1:K$1)</f>
        <v>10068</v>
      </c>
      <c r="M36" s="40">
        <f>_xlfn.FORECAST.LINEAR(M$1,$D15:L15,$D$1:L$1)</f>
        <v>11088.111111111124</v>
      </c>
      <c r="N36" s="40">
        <f>_xlfn.FORECAST.LINEAR(N$1,$D15:M15,$D$1:M$1)</f>
        <v>11885.933333333349</v>
      </c>
      <c r="O36" s="40">
        <f>_xlfn.FORECAST.LINEAR(O$1,$D15:N15,$D$1:N$1)</f>
        <v>12541.781818181742</v>
      </c>
      <c r="P36" s="40">
        <f>_xlfn.FORECAST.LINEAR(P$1,$D15:O15,$D$1:O$1)</f>
        <v>13253.348484848626</v>
      </c>
      <c r="Q36" s="40">
        <f>_xlfn.FORECAST.LINEAR(Q$1,$D15:P15,$D$1:P$1)</f>
        <v>13908.346153846243</v>
      </c>
      <c r="R36" s="40">
        <f>_xlfn.FORECAST.LINEAR(R$1,$D15:Q15,$D$1:Q$1)</f>
        <v>14476.4945054946</v>
      </c>
      <c r="S36" s="40">
        <f>_xlfn.FORECAST.LINEAR(S$1,$D15:R15,$D$1:R$1)</f>
        <v>15306.142857142957</v>
      </c>
      <c r="T36" s="40">
        <f>_xlfn.FORECAST.LINEAR(T$1,$D15:S15,$D$1:S$1)</f>
        <v>15601.725000000093</v>
      </c>
      <c r="U36" s="40">
        <f>_xlfn.FORECAST.LINEAR(U$1,$D15:T15,$D$1:T$1)</f>
        <v>16277.522058823379</v>
      </c>
      <c r="V36" s="17" t="s">
        <v>58</v>
      </c>
      <c r="W36" s="17" t="s">
        <v>58</v>
      </c>
      <c r="X36" s="17" t="s">
        <v>58</v>
      </c>
      <c r="Y36" s="17" t="s">
        <v>58</v>
      </c>
      <c r="Z36" s="17" t="s">
        <v>58</v>
      </c>
      <c r="AA36" s="17" t="s">
        <v>58</v>
      </c>
      <c r="AB36" s="17" t="s">
        <v>58</v>
      </c>
      <c r="AC36" s="17" t="s">
        <v>58</v>
      </c>
      <c r="AD36" s="17" t="s">
        <v>58</v>
      </c>
      <c r="AE36" s="17" t="s">
        <v>58</v>
      </c>
      <c r="AF36" s="17" t="s">
        <v>58</v>
      </c>
    </row>
    <row r="37" spans="1:32" ht="15" customHeight="1" x14ac:dyDescent="0.25">
      <c r="C37" s="11" t="s">
        <v>1</v>
      </c>
      <c r="D37" s="17" t="s">
        <v>58</v>
      </c>
      <c r="E37" s="17" t="s">
        <v>58</v>
      </c>
      <c r="F37" s="17" t="s">
        <v>58</v>
      </c>
      <c r="G37" s="17" t="s">
        <v>58</v>
      </c>
      <c r="H37" s="17" t="s">
        <v>58</v>
      </c>
      <c r="I37" s="17" t="s">
        <v>58</v>
      </c>
      <c r="J37" s="17" t="s">
        <v>58</v>
      </c>
      <c r="K37" s="17" t="s">
        <v>58</v>
      </c>
      <c r="L37" s="40">
        <f>_xlfn.FORECAST.LINEAR(L$1,$D16:K16,$D$1:K$1)</f>
        <v>8489.5357142857392</v>
      </c>
      <c r="M37" s="40">
        <f>_xlfn.FORECAST.LINEAR(M$1,$D16:L16,$D$1:L$1)</f>
        <v>9091.4166666666279</v>
      </c>
      <c r="N37" s="40">
        <f>_xlfn.FORECAST.LINEAR(N$1,$D16:M16,$D$1:M$1)</f>
        <v>9558.4000000001397</v>
      </c>
      <c r="O37" s="40">
        <f>_xlfn.FORECAST.LINEAR(O$1,$D16:N16,$D$1:N$1)</f>
        <v>10168.636363636353</v>
      </c>
      <c r="P37" s="40">
        <f>_xlfn.FORECAST.LINEAR(P$1,$D16:O16,$D$1:O$1)</f>
        <v>10672.409090909176</v>
      </c>
      <c r="Q37" s="40">
        <f>_xlfn.FORECAST.LINEAR(Q$1,$D16:P16,$D$1:P$1)</f>
        <v>11203.923076923005</v>
      </c>
      <c r="R37" s="40">
        <f>_xlfn.FORECAST.LINEAR(R$1,$D16:Q16,$D$1:Q$1)</f>
        <v>11919.923076923122</v>
      </c>
      <c r="S37" s="40">
        <f>_xlfn.FORECAST.LINEAR(S$1,$D16:R16,$D$1:R$1)</f>
        <v>12762.885714285658</v>
      </c>
      <c r="T37" s="40">
        <f>_xlfn.FORECAST.LINEAR(T$1,$D16:S16,$D$1:S$1)</f>
        <v>13374.574999999953</v>
      </c>
      <c r="U37" s="40">
        <f>_xlfn.FORECAST.LINEAR(U$1,$D16:T16,$D$1:T$1)</f>
        <v>14137.161764705903</v>
      </c>
      <c r="V37" s="17" t="s">
        <v>58</v>
      </c>
      <c r="W37" s="17" t="s">
        <v>58</v>
      </c>
      <c r="X37" s="17" t="s">
        <v>58</v>
      </c>
      <c r="Y37" s="17" t="s">
        <v>58</v>
      </c>
      <c r="Z37" s="17" t="s">
        <v>58</v>
      </c>
      <c r="AA37" s="17" t="s">
        <v>58</v>
      </c>
      <c r="AB37" s="17" t="s">
        <v>58</v>
      </c>
      <c r="AC37" s="17" t="s">
        <v>58</v>
      </c>
      <c r="AD37" s="17" t="s">
        <v>58</v>
      </c>
      <c r="AE37" s="17" t="s">
        <v>58</v>
      </c>
      <c r="AF37" s="17" t="s">
        <v>58</v>
      </c>
    </row>
    <row r="38" spans="1:32" ht="15" customHeight="1" x14ac:dyDescent="0.25">
      <c r="C38" s="11" t="s">
        <v>2</v>
      </c>
      <c r="D38" s="17" t="s">
        <v>58</v>
      </c>
      <c r="E38" s="17" t="s">
        <v>58</v>
      </c>
      <c r="F38" s="17" t="s">
        <v>58</v>
      </c>
      <c r="G38" s="17" t="s">
        <v>58</v>
      </c>
      <c r="H38" s="17" t="s">
        <v>58</v>
      </c>
      <c r="I38" s="17" t="s">
        <v>58</v>
      </c>
      <c r="J38" s="17" t="s">
        <v>58</v>
      </c>
      <c r="K38" s="17" t="s">
        <v>58</v>
      </c>
      <c r="L38" s="40">
        <f>_xlfn.FORECAST.LINEAR(L$1,$D17:K17,$D$1:K$1)</f>
        <v>8843.8928571428405</v>
      </c>
      <c r="M38" s="40">
        <f>_xlfn.FORECAST.LINEAR(M$1,$D17:L17,$D$1:L$1)</f>
        <v>9855.1111111110076</v>
      </c>
      <c r="N38" s="40">
        <f>_xlfn.FORECAST.LINEAR(N$1,$D17:M17,$D$1:M$1)</f>
        <v>10703.933333333349</v>
      </c>
      <c r="O38" s="40">
        <f>_xlfn.FORECAST.LINEAR(O$1,$D17:N17,$D$1:N$1)</f>
        <v>11400</v>
      </c>
      <c r="P38" s="40">
        <f>_xlfn.FORECAST.LINEAR(P$1,$D17:O17,$D$1:O$1)</f>
        <v>12378.939393939334</v>
      </c>
      <c r="Q38" s="40">
        <f>_xlfn.FORECAST.LINEAR(Q$1,$D17:P17,$D$1:P$1)</f>
        <v>13246.615384615259</v>
      </c>
      <c r="R38" s="40">
        <f>_xlfn.FORECAST.LINEAR(R$1,$D17:Q17,$D$1:Q$1)</f>
        <v>14278.538461538497</v>
      </c>
      <c r="S38" s="40">
        <f>_xlfn.FORECAST.LINEAR(S$1,$D17:R17,$D$1:R$1)</f>
        <v>15052.904761904851</v>
      </c>
      <c r="T38" s="40">
        <f>_xlfn.FORECAST.LINEAR(T$1,$D17:S17,$D$1:S$1)</f>
        <v>15614.600000000093</v>
      </c>
      <c r="U38" s="40">
        <f>_xlfn.FORECAST.LINEAR(U$1,$D17:T17,$D$1:T$1)</f>
        <v>16049.04411764699</v>
      </c>
      <c r="V38" s="17" t="s">
        <v>58</v>
      </c>
      <c r="W38" s="17" t="s">
        <v>58</v>
      </c>
      <c r="X38" s="17" t="s">
        <v>58</v>
      </c>
      <c r="Y38" s="17" t="s">
        <v>58</v>
      </c>
      <c r="Z38" s="17" t="s">
        <v>58</v>
      </c>
      <c r="AA38" s="17" t="s">
        <v>58</v>
      </c>
      <c r="AB38" s="17" t="s">
        <v>58</v>
      </c>
      <c r="AC38" s="17" t="s">
        <v>58</v>
      </c>
      <c r="AD38" s="17" t="s">
        <v>58</v>
      </c>
      <c r="AE38" s="17" t="s">
        <v>58</v>
      </c>
      <c r="AF38" s="17" t="s">
        <v>58</v>
      </c>
    </row>
    <row r="39" spans="1:32" ht="15" customHeight="1" x14ac:dyDescent="0.25">
      <c r="A39" s="10" t="s">
        <v>50</v>
      </c>
      <c r="B39" s="2" t="s">
        <v>13</v>
      </c>
      <c r="C39" s="11" t="s">
        <v>0</v>
      </c>
      <c r="D39" s="17" t="s">
        <v>58</v>
      </c>
      <c r="E39" s="17" t="s">
        <v>58</v>
      </c>
      <c r="F39" s="17" t="s">
        <v>58</v>
      </c>
      <c r="G39" s="17" t="s">
        <v>58</v>
      </c>
      <c r="H39" s="17" t="s">
        <v>58</v>
      </c>
      <c r="I39" s="17" t="s">
        <v>58</v>
      </c>
      <c r="J39" s="17" t="s">
        <v>58</v>
      </c>
      <c r="K39" s="17" t="s">
        <v>58</v>
      </c>
      <c r="L39" s="40">
        <f>_xlfn.FORECAST.LINEAR(L$1,$D18:K18,$D$1:K$1)</f>
        <v>8925.25</v>
      </c>
      <c r="M39" s="40">
        <f>_xlfn.FORECAST.LINEAR(M$1,$D18:L18,$D$1:L$1)</f>
        <v>9795.25</v>
      </c>
      <c r="N39" s="40">
        <f>_xlfn.FORECAST.LINEAR(N$1,$D18:M18,$D$1:M$1)</f>
        <v>10539.266666666721</v>
      </c>
      <c r="O39" s="40">
        <f>_xlfn.FORECAST.LINEAR(O$1,$D18:N18,$D$1:N$1)</f>
        <v>11189.600000000093</v>
      </c>
      <c r="P39" s="40">
        <f>_xlfn.FORECAST.LINEAR(P$1,$D18:O18,$D$1:O$1)</f>
        <v>11874.21212121204</v>
      </c>
      <c r="Q39" s="40">
        <f>_xlfn.FORECAST.LINEAR(Q$1,$D18:P18,$D$1:P$1)</f>
        <v>12458.5</v>
      </c>
      <c r="R39" s="40">
        <f>_xlfn.FORECAST.LINEAR(R$1,$D18:Q18,$D$1:Q$1)</f>
        <v>12975.615384615376</v>
      </c>
      <c r="S39" s="40">
        <f>_xlfn.FORECAST.LINEAR(S$1,$D18:R18,$D$1:R$1)</f>
        <v>13739.580952381017</v>
      </c>
      <c r="T39" s="40">
        <f>_xlfn.FORECAST.LINEAR(T$1,$D18:S18,$D$1:S$1)</f>
        <v>14044.97499999986</v>
      </c>
      <c r="U39" s="40">
        <f>_xlfn.FORECAST.LINEAR(U$1,$D18:T18,$D$1:T$1)</f>
        <v>14605.448529411922</v>
      </c>
      <c r="V39" s="17" t="s">
        <v>58</v>
      </c>
      <c r="W39" s="17" t="s">
        <v>58</v>
      </c>
      <c r="X39" s="17" t="s">
        <v>58</v>
      </c>
      <c r="Y39" s="17" t="s">
        <v>58</v>
      </c>
      <c r="Z39" s="17" t="s">
        <v>58</v>
      </c>
      <c r="AA39" s="17" t="s">
        <v>58</v>
      </c>
      <c r="AB39" s="17" t="s">
        <v>58</v>
      </c>
      <c r="AC39" s="17" t="s">
        <v>58</v>
      </c>
      <c r="AD39" s="17" t="s">
        <v>58</v>
      </c>
      <c r="AE39" s="17" t="s">
        <v>58</v>
      </c>
      <c r="AF39" s="17" t="s">
        <v>58</v>
      </c>
    </row>
    <row r="40" spans="1:32" ht="15" customHeight="1" x14ac:dyDescent="0.25">
      <c r="C40" s="11" t="s">
        <v>1</v>
      </c>
      <c r="D40" s="17" t="s">
        <v>58</v>
      </c>
      <c r="E40" s="17" t="s">
        <v>58</v>
      </c>
      <c r="F40" s="17" t="s">
        <v>58</v>
      </c>
      <c r="G40" s="17" t="s">
        <v>58</v>
      </c>
      <c r="H40" s="17" t="s">
        <v>58</v>
      </c>
      <c r="I40" s="17" t="s">
        <v>58</v>
      </c>
      <c r="J40" s="17" t="s">
        <v>58</v>
      </c>
      <c r="K40" s="17" t="s">
        <v>58</v>
      </c>
      <c r="L40" s="40">
        <f>_xlfn.FORECAST.LINEAR(L$1,$D19:K19,$D$1:K$1)</f>
        <v>7360</v>
      </c>
      <c r="M40" s="40">
        <f>_xlfn.FORECAST.LINEAR(M$1,$D19:L19,$D$1:L$1)</f>
        <v>7962.2500000000582</v>
      </c>
      <c r="N40" s="40">
        <f>_xlfn.FORECAST.LINEAR(N$1,$D19:M19,$D$1:M$1)</f>
        <v>8337.0666666666511</v>
      </c>
      <c r="O40" s="40">
        <f>_xlfn.FORECAST.LINEAR(O$1,$D19:N19,$D$1:N$1)</f>
        <v>8702.1999999999534</v>
      </c>
      <c r="P40" s="40">
        <f>_xlfn.FORECAST.LINEAR(P$1,$D19:O19,$D$1:O$1)</f>
        <v>9191.5</v>
      </c>
      <c r="Q40" s="40">
        <f>_xlfn.FORECAST.LINEAR(Q$1,$D19:P19,$D$1:P$1)</f>
        <v>9686.6923076923704</v>
      </c>
      <c r="R40" s="40">
        <f>_xlfn.FORECAST.LINEAR(R$1,$D19:Q19,$D$1:Q$1)</f>
        <v>10212.406593406573</v>
      </c>
      <c r="S40" s="40">
        <f>_xlfn.FORECAST.LINEAR(S$1,$D19:R19,$D$1:R$1)</f>
        <v>10798.504761904711</v>
      </c>
      <c r="T40" s="40">
        <f>_xlfn.FORECAST.LINEAR(T$1,$D19:S19,$D$1:S$1)</f>
        <v>11327.849999999977</v>
      </c>
      <c r="U40" s="40">
        <f>_xlfn.FORECAST.LINEAR(U$1,$D19:T19,$D$1:T$1)</f>
        <v>12049.838235294097</v>
      </c>
      <c r="V40" s="17" t="s">
        <v>58</v>
      </c>
      <c r="W40" s="17" t="s">
        <v>58</v>
      </c>
      <c r="X40" s="17" t="s">
        <v>58</v>
      </c>
      <c r="Y40" s="17" t="s">
        <v>58</v>
      </c>
      <c r="Z40" s="17" t="s">
        <v>58</v>
      </c>
      <c r="AA40" s="17" t="s">
        <v>58</v>
      </c>
      <c r="AB40" s="17" t="s">
        <v>58</v>
      </c>
      <c r="AC40" s="17" t="s">
        <v>58</v>
      </c>
      <c r="AD40" s="17" t="s">
        <v>58</v>
      </c>
      <c r="AE40" s="17" t="s">
        <v>58</v>
      </c>
      <c r="AF40" s="17" t="s">
        <v>58</v>
      </c>
    </row>
    <row r="41" spans="1:32" ht="15" customHeight="1" x14ac:dyDescent="0.25">
      <c r="C41" s="11" t="s">
        <v>2</v>
      </c>
      <c r="D41" s="17" t="s">
        <v>58</v>
      </c>
      <c r="E41" s="17" t="s">
        <v>58</v>
      </c>
      <c r="F41" s="17" t="s">
        <v>58</v>
      </c>
      <c r="G41" s="17" t="s">
        <v>58</v>
      </c>
      <c r="H41" s="17" t="s">
        <v>58</v>
      </c>
      <c r="I41" s="17" t="s">
        <v>58</v>
      </c>
      <c r="J41" s="17" t="s">
        <v>58</v>
      </c>
      <c r="K41" s="17" t="s">
        <v>58</v>
      </c>
      <c r="L41" s="40">
        <f>_xlfn.FORECAST.LINEAR(L$1,$D20:K20,$D$1:K$1)</f>
        <v>7908.8928571428405</v>
      </c>
      <c r="M41" s="40">
        <f>_xlfn.FORECAST.LINEAR(M$1,$D20:L20,$D$1:L$1)</f>
        <v>8671.638888888876</v>
      </c>
      <c r="N41" s="40">
        <f>_xlfn.FORECAST.LINEAR(N$1,$D20:M20,$D$1:M$1)</f>
        <v>9234.8000000000466</v>
      </c>
      <c r="O41" s="40">
        <f>_xlfn.FORECAST.LINEAR(O$1,$D20:N20,$D$1:N$1)</f>
        <v>9745.672727272613</v>
      </c>
      <c r="P41" s="40">
        <f>_xlfn.FORECAST.LINEAR(P$1,$D20:O20,$D$1:O$1)</f>
        <v>10385.303030302981</v>
      </c>
      <c r="Q41" s="40">
        <f>_xlfn.FORECAST.LINEAR(Q$1,$D20:P20,$D$1:P$1)</f>
        <v>11042.692307692254</v>
      </c>
      <c r="R41" s="40">
        <f>_xlfn.FORECAST.LINEAR(R$1,$D20:Q20,$D$1:Q$1)</f>
        <v>11798.362637362676</v>
      </c>
      <c r="S41" s="40">
        <f>_xlfn.FORECAST.LINEAR(S$1,$D20:R20,$D$1:R$1)</f>
        <v>12425.047619047575</v>
      </c>
      <c r="T41" s="40">
        <f>_xlfn.FORECAST.LINEAR(T$1,$D20:S20,$D$1:S$1)</f>
        <v>12939.949999999953</v>
      </c>
      <c r="U41" s="40">
        <f>_xlfn.FORECAST.LINEAR(U$1,$D20:T20,$D$1:T$1)</f>
        <v>13557.573529411689</v>
      </c>
      <c r="V41" s="17" t="s">
        <v>58</v>
      </c>
      <c r="W41" s="17" t="s">
        <v>58</v>
      </c>
      <c r="X41" s="17" t="s">
        <v>58</v>
      </c>
      <c r="Y41" s="17" t="s">
        <v>58</v>
      </c>
      <c r="Z41" s="17" t="s">
        <v>58</v>
      </c>
      <c r="AA41" s="17" t="s">
        <v>58</v>
      </c>
      <c r="AB41" s="17" t="s">
        <v>58</v>
      </c>
      <c r="AC41" s="17" t="s">
        <v>58</v>
      </c>
      <c r="AD41" s="17" t="s">
        <v>58</v>
      </c>
      <c r="AE41" s="17" t="s">
        <v>58</v>
      </c>
      <c r="AF41" s="17" t="s">
        <v>58</v>
      </c>
    </row>
    <row r="42" spans="1:32" ht="15" customHeight="1" x14ac:dyDescent="0.25">
      <c r="D42" s="1"/>
      <c r="E42" s="1"/>
      <c r="F42" s="1"/>
      <c r="G42" s="1"/>
      <c r="H42" s="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</row>
    <row r="43" spans="1:32" ht="15" customHeight="1" x14ac:dyDescent="0.25">
      <c r="D43" s="1"/>
      <c r="E43" s="1"/>
      <c r="F43" s="1"/>
      <c r="G43" s="1"/>
      <c r="H43" s="1"/>
      <c r="I43" s="41"/>
      <c r="J43" s="41"/>
      <c r="K43" s="41"/>
      <c r="L43" s="41"/>
      <c r="M43" s="22"/>
      <c r="N43" s="22"/>
      <c r="O43" s="22"/>
      <c r="P43" s="22"/>
      <c r="Q43" s="22"/>
      <c r="R43" s="22"/>
      <c r="S43" s="22"/>
      <c r="T43" s="22"/>
      <c r="U43" s="22"/>
    </row>
    <row r="44" spans="1:32" s="36" customFormat="1" ht="28.5" customHeight="1" x14ac:dyDescent="0.25">
      <c r="A44" s="88" t="s">
        <v>56</v>
      </c>
      <c r="B44" s="88"/>
      <c r="C44" s="89"/>
      <c r="D44" s="35"/>
      <c r="E44" s="35"/>
      <c r="F44" s="35"/>
      <c r="G44" s="35"/>
      <c r="H44" s="35"/>
      <c r="I44" s="42"/>
      <c r="J44" s="42"/>
      <c r="K44" s="42"/>
      <c r="L44" s="42"/>
      <c r="M44" s="43"/>
      <c r="N44" s="43"/>
      <c r="O44" s="43"/>
      <c r="P44" s="43"/>
      <c r="Q44" s="43"/>
      <c r="R44" s="43"/>
      <c r="S44" s="43"/>
      <c r="T44" s="43"/>
      <c r="U44" s="43"/>
    </row>
    <row r="45" spans="1:32" ht="15" customHeight="1" x14ac:dyDescent="0.25">
      <c r="A45" s="10" t="s">
        <v>48</v>
      </c>
      <c r="B45" s="2" t="s">
        <v>11</v>
      </c>
      <c r="C45" s="11" t="s">
        <v>0</v>
      </c>
      <c r="D45" s="17" t="s">
        <v>58</v>
      </c>
      <c r="E45" s="17" t="s">
        <v>58</v>
      </c>
      <c r="F45" s="17" t="s">
        <v>58</v>
      </c>
      <c r="G45" s="17" t="s">
        <v>58</v>
      </c>
      <c r="H45" s="17" t="s">
        <v>58</v>
      </c>
      <c r="I45" s="17" t="s">
        <v>58</v>
      </c>
      <c r="J45" s="17" t="s">
        <v>58</v>
      </c>
      <c r="K45" s="17" t="s">
        <v>58</v>
      </c>
      <c r="L45" s="44">
        <f t="shared" ref="L45:U45" si="0">L3/L24</f>
        <v>1.1371630271962543</v>
      </c>
      <c r="M45" s="44">
        <f t="shared" si="0"/>
        <v>1.0306102297412942</v>
      </c>
      <c r="N45" s="44">
        <f t="shared" si="0"/>
        <v>1.0255623255370414</v>
      </c>
      <c r="O45" s="44">
        <f t="shared" si="0"/>
        <v>1.0385955047740039</v>
      </c>
      <c r="P45" s="44">
        <f t="shared" si="0"/>
        <v>0.99049295625643707</v>
      </c>
      <c r="Q45" s="44">
        <f t="shared" si="0"/>
        <v>1.0117563440869151</v>
      </c>
      <c r="R45" s="44">
        <f t="shared" si="0"/>
        <v>1.1305012485844985</v>
      </c>
      <c r="S45" s="44">
        <f>S3/S24</f>
        <v>0.95992342561365263</v>
      </c>
      <c r="T45" s="44">
        <f t="shared" si="0"/>
        <v>0.97544299470115237</v>
      </c>
      <c r="U45" s="44">
        <f t="shared" si="0"/>
        <v>0.98590734300903704</v>
      </c>
      <c r="V45" s="17" t="s">
        <v>58</v>
      </c>
      <c r="W45" s="17" t="s">
        <v>58</v>
      </c>
      <c r="X45" s="17" t="s">
        <v>58</v>
      </c>
      <c r="Y45" s="17" t="s">
        <v>58</v>
      </c>
      <c r="Z45" s="17" t="s">
        <v>58</v>
      </c>
      <c r="AA45" s="17" t="s">
        <v>58</v>
      </c>
      <c r="AB45" s="17" t="s">
        <v>58</v>
      </c>
      <c r="AC45" s="17" t="s">
        <v>58</v>
      </c>
      <c r="AD45" s="17" t="s">
        <v>58</v>
      </c>
      <c r="AE45" s="17" t="s">
        <v>58</v>
      </c>
      <c r="AF45" s="17" t="s">
        <v>58</v>
      </c>
    </row>
    <row r="46" spans="1:32" ht="15" customHeight="1" x14ac:dyDescent="0.25">
      <c r="C46" s="11" t="s">
        <v>1</v>
      </c>
      <c r="D46" s="17" t="s">
        <v>58</v>
      </c>
      <c r="E46" s="17" t="s">
        <v>58</v>
      </c>
      <c r="F46" s="17" t="s">
        <v>58</v>
      </c>
      <c r="G46" s="17" t="s">
        <v>58</v>
      </c>
      <c r="H46" s="17" t="s">
        <v>58</v>
      </c>
      <c r="I46" s="17" t="s">
        <v>58</v>
      </c>
      <c r="J46" s="17" t="s">
        <v>58</v>
      </c>
      <c r="K46" s="17" t="s">
        <v>58</v>
      </c>
      <c r="L46" s="44">
        <f t="shared" ref="L46:U46" si="1">L4/L25</f>
        <v>1.2640578087629128</v>
      </c>
      <c r="M46" s="44">
        <f t="shared" si="1"/>
        <v>1.1215470991890153</v>
      </c>
      <c r="N46" s="44">
        <f t="shared" si="1"/>
        <v>1.139550646695408</v>
      </c>
      <c r="O46" s="44">
        <f t="shared" si="1"/>
        <v>1.1540154891839929</v>
      </c>
      <c r="P46" s="44">
        <f t="shared" si="1"/>
        <v>1.0660273127866526</v>
      </c>
      <c r="Q46" s="44">
        <f t="shared" si="1"/>
        <v>1.1111595656534927</v>
      </c>
      <c r="R46" s="44">
        <f t="shared" si="1"/>
        <v>1.0894119225480088</v>
      </c>
      <c r="S46" s="44">
        <f t="shared" si="1"/>
        <v>1.0407728375263574</v>
      </c>
      <c r="T46" s="44">
        <f t="shared" si="1"/>
        <v>1.1157671981306081</v>
      </c>
      <c r="U46" s="44">
        <f t="shared" si="1"/>
        <v>1.2406950606546059</v>
      </c>
      <c r="V46" s="17" t="s">
        <v>58</v>
      </c>
      <c r="W46" s="17" t="s">
        <v>58</v>
      </c>
      <c r="X46" s="17" t="s">
        <v>58</v>
      </c>
      <c r="Y46" s="17" t="s">
        <v>58</v>
      </c>
      <c r="Z46" s="17" t="s">
        <v>58</v>
      </c>
      <c r="AA46" s="17" t="s">
        <v>58</v>
      </c>
      <c r="AB46" s="17" t="s">
        <v>58</v>
      </c>
      <c r="AC46" s="17" t="s">
        <v>58</v>
      </c>
      <c r="AD46" s="17" t="s">
        <v>58</v>
      </c>
      <c r="AE46" s="17" t="s">
        <v>58</v>
      </c>
      <c r="AF46" s="17" t="s">
        <v>58</v>
      </c>
    </row>
    <row r="47" spans="1:32" ht="15" customHeight="1" x14ac:dyDescent="0.25">
      <c r="C47" s="11" t="s">
        <v>2</v>
      </c>
      <c r="D47" s="17" t="s">
        <v>58</v>
      </c>
      <c r="E47" s="17" t="s">
        <v>58</v>
      </c>
      <c r="F47" s="17" t="s">
        <v>58</v>
      </c>
      <c r="G47" s="17" t="s">
        <v>58</v>
      </c>
      <c r="H47" s="17" t="s">
        <v>58</v>
      </c>
      <c r="I47" s="17" t="s">
        <v>58</v>
      </c>
      <c r="J47" s="17" t="s">
        <v>58</v>
      </c>
      <c r="K47" s="17" t="s">
        <v>58</v>
      </c>
      <c r="L47" s="44">
        <f t="shared" ref="L47:U47" si="2">L5/L26</f>
        <v>1.2520790603504599</v>
      </c>
      <c r="M47" s="44">
        <f t="shared" si="2"/>
        <v>1.1810488869724498</v>
      </c>
      <c r="N47" s="44">
        <f t="shared" si="2"/>
        <v>1.1191742954933821</v>
      </c>
      <c r="O47" s="44">
        <f t="shared" si="2"/>
        <v>1.0565304791257071</v>
      </c>
      <c r="P47" s="44">
        <f t="shared" si="2"/>
        <v>1.0990458042405569</v>
      </c>
      <c r="Q47" s="44">
        <f t="shared" si="2"/>
        <v>1.1511821303383696</v>
      </c>
      <c r="R47" s="44">
        <f t="shared" si="2"/>
        <v>1.1267560282090694</v>
      </c>
      <c r="S47" s="44">
        <f t="shared" si="2"/>
        <v>1.0342672748584243</v>
      </c>
      <c r="T47" s="44">
        <f t="shared" si="2"/>
        <v>1.0375714039544348</v>
      </c>
      <c r="U47" s="44">
        <f t="shared" si="2"/>
        <v>1.1483930761534709</v>
      </c>
      <c r="V47" s="17" t="s">
        <v>58</v>
      </c>
      <c r="W47" s="17" t="s">
        <v>58</v>
      </c>
      <c r="X47" s="17" t="s">
        <v>58</v>
      </c>
      <c r="Y47" s="17" t="s">
        <v>58</v>
      </c>
      <c r="Z47" s="17" t="s">
        <v>58</v>
      </c>
      <c r="AA47" s="17" t="s">
        <v>58</v>
      </c>
      <c r="AB47" s="17" t="s">
        <v>58</v>
      </c>
      <c r="AC47" s="17" t="s">
        <v>58</v>
      </c>
      <c r="AD47" s="17" t="s">
        <v>58</v>
      </c>
      <c r="AE47" s="17" t="s">
        <v>58</v>
      </c>
      <c r="AF47" s="17" t="s">
        <v>58</v>
      </c>
    </row>
    <row r="48" spans="1:32" ht="15" customHeight="1" x14ac:dyDescent="0.25">
      <c r="A48" s="10" t="s">
        <v>48</v>
      </c>
      <c r="B48" s="2" t="s">
        <v>13</v>
      </c>
      <c r="C48" s="11" t="s">
        <v>0</v>
      </c>
      <c r="D48" s="17" t="s">
        <v>58</v>
      </c>
      <c r="E48" s="17" t="s">
        <v>58</v>
      </c>
      <c r="F48" s="17" t="s">
        <v>58</v>
      </c>
      <c r="G48" s="17" t="s">
        <v>58</v>
      </c>
      <c r="H48" s="17" t="s">
        <v>58</v>
      </c>
      <c r="I48" s="17" t="s">
        <v>58</v>
      </c>
      <c r="J48" s="17" t="s">
        <v>58</v>
      </c>
      <c r="K48" s="17" t="s">
        <v>58</v>
      </c>
      <c r="L48" s="44">
        <f t="shared" ref="L48:U48" si="3">L6/L27</f>
        <v>1.1371947475011406</v>
      </c>
      <c r="M48" s="44">
        <f t="shared" si="3"/>
        <v>1.0597780492471593</v>
      </c>
      <c r="N48" s="44">
        <f t="shared" si="3"/>
        <v>1.0537243706202899</v>
      </c>
      <c r="O48" s="44">
        <f t="shared" si="3"/>
        <v>1.0455611104619393</v>
      </c>
      <c r="P48" s="44">
        <f t="shared" si="3"/>
        <v>0.9949148860784186</v>
      </c>
      <c r="Q48" s="44">
        <f t="shared" si="3"/>
        <v>0.98513832817735325</v>
      </c>
      <c r="R48" s="44">
        <f t="shared" si="3"/>
        <v>1.1337863613766785</v>
      </c>
      <c r="S48" s="44">
        <f t="shared" si="3"/>
        <v>0.9208715346926849</v>
      </c>
      <c r="T48" s="44">
        <f t="shared" si="3"/>
        <v>0.94637727417810402</v>
      </c>
      <c r="U48" s="44">
        <f t="shared" si="3"/>
        <v>0.96631533362486566</v>
      </c>
      <c r="V48" s="17" t="s">
        <v>58</v>
      </c>
      <c r="W48" s="17" t="s">
        <v>58</v>
      </c>
      <c r="X48" s="17" t="s">
        <v>58</v>
      </c>
      <c r="Y48" s="17" t="s">
        <v>58</v>
      </c>
      <c r="Z48" s="17" t="s">
        <v>58</v>
      </c>
      <c r="AA48" s="17" t="s">
        <v>58</v>
      </c>
      <c r="AB48" s="17" t="s">
        <v>58</v>
      </c>
      <c r="AC48" s="17" t="s">
        <v>58</v>
      </c>
      <c r="AD48" s="17" t="s">
        <v>58</v>
      </c>
      <c r="AE48" s="17" t="s">
        <v>58</v>
      </c>
      <c r="AF48" s="17" t="s">
        <v>58</v>
      </c>
    </row>
    <row r="49" spans="1:32" ht="15" customHeight="1" x14ac:dyDescent="0.25">
      <c r="C49" s="11" t="s">
        <v>1</v>
      </c>
      <c r="D49" s="17" t="s">
        <v>58</v>
      </c>
      <c r="E49" s="17" t="s">
        <v>58</v>
      </c>
      <c r="F49" s="17" t="s">
        <v>58</v>
      </c>
      <c r="G49" s="17" t="s">
        <v>58</v>
      </c>
      <c r="H49" s="17" t="s">
        <v>58</v>
      </c>
      <c r="I49" s="17" t="s">
        <v>58</v>
      </c>
      <c r="J49" s="17" t="s">
        <v>58</v>
      </c>
      <c r="K49" s="17" t="s">
        <v>58</v>
      </c>
      <c r="L49" s="44">
        <f t="shared" ref="L49:U49" si="4">L7/L28</f>
        <v>1.3021208240829829</v>
      </c>
      <c r="M49" s="44">
        <f t="shared" si="4"/>
        <v>1.1452474300003128</v>
      </c>
      <c r="N49" s="44">
        <f t="shared" si="4"/>
        <v>1.1478864827044784</v>
      </c>
      <c r="O49" s="44">
        <f t="shared" si="4"/>
        <v>1.1801671589266616</v>
      </c>
      <c r="P49" s="44">
        <f t="shared" si="4"/>
        <v>1.0740242874888384</v>
      </c>
      <c r="Q49" s="44">
        <f t="shared" si="4"/>
        <v>1.0603789255125888</v>
      </c>
      <c r="R49" s="44">
        <f t="shared" si="4"/>
        <v>1.0612358489837712</v>
      </c>
      <c r="S49" s="44">
        <f t="shared" si="4"/>
        <v>1.0337253038944174</v>
      </c>
      <c r="T49" s="44">
        <f t="shared" si="4"/>
        <v>1.101271899636181</v>
      </c>
      <c r="U49" s="44">
        <f t="shared" si="4"/>
        <v>1.2467636995635811</v>
      </c>
      <c r="V49" s="17" t="s">
        <v>58</v>
      </c>
      <c r="W49" s="17" t="s">
        <v>58</v>
      </c>
      <c r="X49" s="17" t="s">
        <v>58</v>
      </c>
      <c r="Y49" s="17" t="s">
        <v>58</v>
      </c>
      <c r="Z49" s="17" t="s">
        <v>58</v>
      </c>
      <c r="AA49" s="17" t="s">
        <v>58</v>
      </c>
      <c r="AB49" s="17" t="s">
        <v>58</v>
      </c>
      <c r="AC49" s="17" t="s">
        <v>58</v>
      </c>
      <c r="AD49" s="17" t="s">
        <v>58</v>
      </c>
      <c r="AE49" s="17" t="s">
        <v>58</v>
      </c>
      <c r="AF49" s="17" t="s">
        <v>58</v>
      </c>
    </row>
    <row r="50" spans="1:32" ht="15" customHeight="1" x14ac:dyDescent="0.25">
      <c r="C50" s="11" t="s">
        <v>2</v>
      </c>
      <c r="D50" s="17" t="s">
        <v>58</v>
      </c>
      <c r="E50" s="17" t="s">
        <v>58</v>
      </c>
      <c r="F50" s="17" t="s">
        <v>58</v>
      </c>
      <c r="G50" s="17" t="s">
        <v>58</v>
      </c>
      <c r="H50" s="17" t="s">
        <v>58</v>
      </c>
      <c r="I50" s="17" t="s">
        <v>58</v>
      </c>
      <c r="J50" s="17" t="s">
        <v>58</v>
      </c>
      <c r="K50" s="17" t="s">
        <v>58</v>
      </c>
      <c r="L50" s="44">
        <f t="shared" ref="L50:U50" si="5">L8/L29</f>
        <v>1.187928777166803</v>
      </c>
      <c r="M50" s="44">
        <f t="shared" si="5"/>
        <v>1.0991451275922099</v>
      </c>
      <c r="N50" s="44">
        <f t="shared" si="5"/>
        <v>1.1036946936293144</v>
      </c>
      <c r="O50" s="44">
        <f t="shared" si="5"/>
        <v>1.1006221703533743</v>
      </c>
      <c r="P50" s="44">
        <f t="shared" si="5"/>
        <v>1.1115821110653505</v>
      </c>
      <c r="Q50" s="44">
        <f t="shared" si="5"/>
        <v>1.1287410638555837</v>
      </c>
      <c r="R50" s="44">
        <f t="shared" si="5"/>
        <v>1.1101859566604055</v>
      </c>
      <c r="S50" s="44">
        <f t="shared" si="5"/>
        <v>1.0360923661583903</v>
      </c>
      <c r="T50" s="44">
        <f t="shared" si="5"/>
        <v>1.0209260599331849</v>
      </c>
      <c r="U50" s="44">
        <f t="shared" si="5"/>
        <v>1.0891126315965147</v>
      </c>
      <c r="V50" s="17" t="s">
        <v>58</v>
      </c>
      <c r="W50" s="17" t="s">
        <v>58</v>
      </c>
      <c r="X50" s="17" t="s">
        <v>58</v>
      </c>
      <c r="Y50" s="17" t="s">
        <v>58</v>
      </c>
      <c r="Z50" s="17" t="s">
        <v>58</v>
      </c>
      <c r="AA50" s="17" t="s">
        <v>58</v>
      </c>
      <c r="AB50" s="17" t="s">
        <v>58</v>
      </c>
      <c r="AC50" s="17" t="s">
        <v>58</v>
      </c>
      <c r="AD50" s="17" t="s">
        <v>58</v>
      </c>
      <c r="AE50" s="17" t="s">
        <v>58</v>
      </c>
      <c r="AF50" s="17" t="s">
        <v>58</v>
      </c>
    </row>
    <row r="51" spans="1:32" ht="15" customHeight="1" x14ac:dyDescent="0.25">
      <c r="A51" s="10" t="s">
        <v>16</v>
      </c>
      <c r="B51" s="2" t="s">
        <v>11</v>
      </c>
      <c r="C51" s="11" t="s">
        <v>0</v>
      </c>
      <c r="D51" s="17" t="s">
        <v>58</v>
      </c>
      <c r="E51" s="17" t="s">
        <v>58</v>
      </c>
      <c r="F51" s="17" t="s">
        <v>58</v>
      </c>
      <c r="G51" s="17" t="s">
        <v>58</v>
      </c>
      <c r="H51" s="17" t="s">
        <v>58</v>
      </c>
      <c r="I51" s="17" t="s">
        <v>58</v>
      </c>
      <c r="J51" s="17" t="s">
        <v>58</v>
      </c>
      <c r="K51" s="17" t="s">
        <v>58</v>
      </c>
      <c r="L51" s="44">
        <f t="shared" ref="L51:U51" si="6">L9/L30</f>
        <v>1.2384151442878069</v>
      </c>
      <c r="M51" s="44">
        <f t="shared" si="6"/>
        <v>1.1090775521989995</v>
      </c>
      <c r="N51" s="44">
        <f t="shared" si="6"/>
        <v>1.0875609847281309</v>
      </c>
      <c r="O51" s="44">
        <f t="shared" si="6"/>
        <v>1.0345205957864523</v>
      </c>
      <c r="P51" s="44">
        <f t="shared" si="6"/>
        <v>0.99901581468004208</v>
      </c>
      <c r="Q51" s="44">
        <f t="shared" si="6"/>
        <v>0.96336590896819518</v>
      </c>
      <c r="R51" s="44">
        <f t="shared" si="6"/>
        <v>1.083464606073046</v>
      </c>
      <c r="S51" s="44">
        <f t="shared" si="6"/>
        <v>0.92444839252760802</v>
      </c>
      <c r="T51" s="44">
        <f t="shared" si="6"/>
        <v>0.9781150966495693</v>
      </c>
      <c r="U51" s="44">
        <f t="shared" si="6"/>
        <v>0.97671983072192081</v>
      </c>
      <c r="V51" s="17" t="s">
        <v>58</v>
      </c>
      <c r="W51" s="17" t="s">
        <v>58</v>
      </c>
      <c r="X51" s="17" t="s">
        <v>58</v>
      </c>
      <c r="Y51" s="17" t="s">
        <v>58</v>
      </c>
      <c r="Z51" s="17" t="s">
        <v>58</v>
      </c>
      <c r="AA51" s="17" t="s">
        <v>58</v>
      </c>
      <c r="AB51" s="17" t="s">
        <v>58</v>
      </c>
      <c r="AC51" s="17" t="s">
        <v>58</v>
      </c>
      <c r="AD51" s="17" t="s">
        <v>58</v>
      </c>
      <c r="AE51" s="17" t="s">
        <v>58</v>
      </c>
      <c r="AF51" s="17" t="s">
        <v>58</v>
      </c>
    </row>
    <row r="52" spans="1:32" ht="15" customHeight="1" x14ac:dyDescent="0.25">
      <c r="C52" s="11" t="s">
        <v>1</v>
      </c>
      <c r="D52" s="17" t="s">
        <v>58</v>
      </c>
      <c r="E52" s="17" t="s">
        <v>58</v>
      </c>
      <c r="F52" s="17" t="s">
        <v>58</v>
      </c>
      <c r="G52" s="17" t="s">
        <v>58</v>
      </c>
      <c r="H52" s="17" t="s">
        <v>58</v>
      </c>
      <c r="I52" s="17" t="s">
        <v>58</v>
      </c>
      <c r="J52" s="17" t="s">
        <v>58</v>
      </c>
      <c r="K52" s="17" t="s">
        <v>58</v>
      </c>
      <c r="L52" s="44">
        <f t="shared" ref="L52:U52" si="7">L10/L31</f>
        <v>1.2293609657979987</v>
      </c>
      <c r="M52" s="44">
        <f t="shared" si="7"/>
        <v>1.0752699021289476</v>
      </c>
      <c r="N52" s="44">
        <f t="shared" si="7"/>
        <v>1.1396667283127992</v>
      </c>
      <c r="O52" s="44">
        <f t="shared" si="7"/>
        <v>1.1038952658283068</v>
      </c>
      <c r="P52" s="44">
        <f t="shared" si="7"/>
        <v>1.0841672016962844</v>
      </c>
      <c r="Q52" s="44">
        <f t="shared" si="7"/>
        <v>1.0864256513219908</v>
      </c>
      <c r="R52" s="44">
        <f t="shared" si="7"/>
        <v>1.1195257917074759</v>
      </c>
      <c r="S52" s="44">
        <f t="shared" si="7"/>
        <v>1.0458235331194694</v>
      </c>
      <c r="T52" s="44">
        <f t="shared" si="7"/>
        <v>1.1371962231051012</v>
      </c>
      <c r="U52" s="44">
        <f t="shared" si="7"/>
        <v>1.2733707193246451</v>
      </c>
      <c r="V52" s="17" t="s">
        <v>58</v>
      </c>
      <c r="W52" s="17" t="s">
        <v>58</v>
      </c>
      <c r="X52" s="17" t="s">
        <v>58</v>
      </c>
      <c r="Y52" s="17" t="s">
        <v>58</v>
      </c>
      <c r="Z52" s="17" t="s">
        <v>58</v>
      </c>
      <c r="AA52" s="17" t="s">
        <v>58</v>
      </c>
      <c r="AB52" s="17" t="s">
        <v>58</v>
      </c>
      <c r="AC52" s="17" t="s">
        <v>58</v>
      </c>
      <c r="AD52" s="17" t="s">
        <v>58</v>
      </c>
      <c r="AE52" s="17" t="s">
        <v>58</v>
      </c>
      <c r="AF52" s="17" t="s">
        <v>58</v>
      </c>
    </row>
    <row r="53" spans="1:32" ht="15" customHeight="1" x14ac:dyDescent="0.25">
      <c r="C53" s="11" t="s">
        <v>2</v>
      </c>
      <c r="D53" s="17" t="s">
        <v>58</v>
      </c>
      <c r="E53" s="17" t="s">
        <v>58</v>
      </c>
      <c r="F53" s="17" t="s">
        <v>58</v>
      </c>
      <c r="G53" s="17" t="s">
        <v>58</v>
      </c>
      <c r="H53" s="17" t="s">
        <v>58</v>
      </c>
      <c r="I53" s="17" t="s">
        <v>58</v>
      </c>
      <c r="J53" s="17" t="s">
        <v>58</v>
      </c>
      <c r="K53" s="17" t="s">
        <v>58</v>
      </c>
      <c r="L53" s="44">
        <f t="shared" ref="L53:U53" si="8">L11/L32</f>
        <v>1.1576916595882183</v>
      </c>
      <c r="M53" s="44">
        <f t="shared" si="8"/>
        <v>1.1002822695345835</v>
      </c>
      <c r="N53" s="44">
        <f t="shared" si="8"/>
        <v>1.1147682205318312</v>
      </c>
      <c r="O53" s="44">
        <f t="shared" si="8"/>
        <v>1.1377926064837447</v>
      </c>
      <c r="P53" s="44">
        <f t="shared" si="8"/>
        <v>1.1357456059931361</v>
      </c>
      <c r="Q53" s="44">
        <f t="shared" si="8"/>
        <v>1.125965926786985</v>
      </c>
      <c r="R53" s="44">
        <f t="shared" si="8"/>
        <v>0.99822680650578544</v>
      </c>
      <c r="S53" s="44">
        <f t="shared" si="8"/>
        <v>1.0091940251507898</v>
      </c>
      <c r="T53" s="44">
        <f t="shared" si="8"/>
        <v>0.89388110323960501</v>
      </c>
      <c r="U53" s="44">
        <f t="shared" si="8"/>
        <v>0.8772701586474948</v>
      </c>
      <c r="V53" s="17" t="s">
        <v>58</v>
      </c>
      <c r="W53" s="17" t="s">
        <v>58</v>
      </c>
      <c r="X53" s="17" t="s">
        <v>58</v>
      </c>
      <c r="Y53" s="17" t="s">
        <v>58</v>
      </c>
      <c r="Z53" s="17" t="s">
        <v>58</v>
      </c>
      <c r="AA53" s="17" t="s">
        <v>58</v>
      </c>
      <c r="AB53" s="17" t="s">
        <v>58</v>
      </c>
      <c r="AC53" s="17" t="s">
        <v>58</v>
      </c>
      <c r="AD53" s="17" t="s">
        <v>58</v>
      </c>
      <c r="AE53" s="17" t="s">
        <v>58</v>
      </c>
      <c r="AF53" s="17" t="s">
        <v>58</v>
      </c>
    </row>
    <row r="54" spans="1:32" ht="15" customHeight="1" x14ac:dyDescent="0.25">
      <c r="A54" s="10" t="s">
        <v>16</v>
      </c>
      <c r="B54" s="2" t="s">
        <v>13</v>
      </c>
      <c r="C54" s="11" t="s">
        <v>0</v>
      </c>
      <c r="D54" s="17" t="s">
        <v>58</v>
      </c>
      <c r="E54" s="17" t="s">
        <v>58</v>
      </c>
      <c r="F54" s="17" t="s">
        <v>58</v>
      </c>
      <c r="G54" s="17" t="s">
        <v>58</v>
      </c>
      <c r="H54" s="17" t="s">
        <v>58</v>
      </c>
      <c r="I54" s="17" t="s">
        <v>58</v>
      </c>
      <c r="J54" s="17" t="s">
        <v>58</v>
      </c>
      <c r="K54" s="17" t="s">
        <v>58</v>
      </c>
      <c r="L54" s="44">
        <f t="shared" ref="L54:U54" si="9">L12/L33</f>
        <v>1.1939933744132012</v>
      </c>
      <c r="M54" s="44">
        <f t="shared" si="9"/>
        <v>1.1020852475157097</v>
      </c>
      <c r="N54" s="44">
        <f t="shared" si="9"/>
        <v>1.0646525877899775</v>
      </c>
      <c r="O54" s="44">
        <f t="shared" si="9"/>
        <v>1.0230812902240982</v>
      </c>
      <c r="P54" s="44">
        <f t="shared" si="9"/>
        <v>0.99727059887601199</v>
      </c>
      <c r="Q54" s="44">
        <f t="shared" si="9"/>
        <v>0.99753697964117449</v>
      </c>
      <c r="R54" s="44">
        <f t="shared" si="9"/>
        <v>1.1216045623895121</v>
      </c>
      <c r="S54" s="44">
        <f t="shared" si="9"/>
        <v>0.95618515623219835</v>
      </c>
      <c r="T54" s="44">
        <f t="shared" si="9"/>
        <v>0.99478510966474731</v>
      </c>
      <c r="U54" s="44">
        <f t="shared" si="9"/>
        <v>1.0291992251307593</v>
      </c>
      <c r="V54" s="17" t="s">
        <v>58</v>
      </c>
      <c r="W54" s="17" t="s">
        <v>58</v>
      </c>
      <c r="X54" s="17" t="s">
        <v>58</v>
      </c>
      <c r="Y54" s="17" t="s">
        <v>58</v>
      </c>
      <c r="Z54" s="17" t="s">
        <v>58</v>
      </c>
      <c r="AA54" s="17" t="s">
        <v>58</v>
      </c>
      <c r="AB54" s="17" t="s">
        <v>58</v>
      </c>
      <c r="AC54" s="17" t="s">
        <v>58</v>
      </c>
      <c r="AD54" s="17" t="s">
        <v>58</v>
      </c>
      <c r="AE54" s="17" t="s">
        <v>58</v>
      </c>
      <c r="AF54" s="17" t="s">
        <v>58</v>
      </c>
    </row>
    <row r="55" spans="1:32" ht="15" customHeight="1" x14ac:dyDescent="0.25">
      <c r="C55" s="11" t="s">
        <v>1</v>
      </c>
      <c r="D55" s="17" t="s">
        <v>58</v>
      </c>
      <c r="E55" s="17" t="s">
        <v>58</v>
      </c>
      <c r="F55" s="17" t="s">
        <v>58</v>
      </c>
      <c r="G55" s="17" t="s">
        <v>58</v>
      </c>
      <c r="H55" s="17" t="s">
        <v>58</v>
      </c>
      <c r="I55" s="17" t="s">
        <v>58</v>
      </c>
      <c r="J55" s="17" t="s">
        <v>58</v>
      </c>
      <c r="K55" s="17" t="s">
        <v>58</v>
      </c>
      <c r="L55" s="44">
        <f t="shared" ref="L55:U55" si="10">L13/L34</f>
        <v>1.1463884837827136</v>
      </c>
      <c r="M55" s="44">
        <f t="shared" si="10"/>
        <v>1.0566087457794533</v>
      </c>
      <c r="N55" s="44">
        <f t="shared" si="10"/>
        <v>1.0601650290768461</v>
      </c>
      <c r="O55" s="44">
        <f t="shared" si="10"/>
        <v>1.0759904426721822</v>
      </c>
      <c r="P55" s="44">
        <f t="shared" si="10"/>
        <v>1.0563627082746025</v>
      </c>
      <c r="Q55" s="44">
        <f t="shared" si="10"/>
        <v>1.076743544978412</v>
      </c>
      <c r="R55" s="44">
        <f t="shared" si="10"/>
        <v>1.0446979224536124</v>
      </c>
      <c r="S55" s="44">
        <f t="shared" si="10"/>
        <v>1.0302504746979619</v>
      </c>
      <c r="T55" s="44">
        <f t="shared" si="10"/>
        <v>1.1156192563573764</v>
      </c>
      <c r="U55" s="44">
        <f t="shared" si="10"/>
        <v>1.2398564228942714</v>
      </c>
      <c r="V55" s="17" t="s">
        <v>58</v>
      </c>
      <c r="W55" s="17" t="s">
        <v>58</v>
      </c>
      <c r="X55" s="17" t="s">
        <v>58</v>
      </c>
      <c r="Y55" s="17" t="s">
        <v>58</v>
      </c>
      <c r="Z55" s="17" t="s">
        <v>58</v>
      </c>
      <c r="AA55" s="17" t="s">
        <v>58</v>
      </c>
      <c r="AB55" s="17" t="s">
        <v>58</v>
      </c>
      <c r="AC55" s="17" t="s">
        <v>58</v>
      </c>
      <c r="AD55" s="17" t="s">
        <v>58</v>
      </c>
      <c r="AE55" s="17" t="s">
        <v>58</v>
      </c>
      <c r="AF55" s="17" t="s">
        <v>58</v>
      </c>
    </row>
    <row r="56" spans="1:32" ht="15" customHeight="1" x14ac:dyDescent="0.25">
      <c r="C56" s="11" t="s">
        <v>2</v>
      </c>
      <c r="D56" s="17" t="s">
        <v>58</v>
      </c>
      <c r="E56" s="17" t="s">
        <v>58</v>
      </c>
      <c r="F56" s="17" t="s">
        <v>58</v>
      </c>
      <c r="G56" s="17" t="s">
        <v>58</v>
      </c>
      <c r="H56" s="17" t="s">
        <v>58</v>
      </c>
      <c r="I56" s="17" t="s">
        <v>58</v>
      </c>
      <c r="J56" s="17" t="s">
        <v>58</v>
      </c>
      <c r="K56" s="17" t="s">
        <v>58</v>
      </c>
      <c r="L56" s="44">
        <f t="shared" ref="L56:U56" si="11">L14/L35</f>
        <v>1.2752978157728532</v>
      </c>
      <c r="M56" s="44">
        <f t="shared" si="11"/>
        <v>1.1251510615336362</v>
      </c>
      <c r="N56" s="44">
        <f t="shared" si="11"/>
        <v>1.0722565370133905</v>
      </c>
      <c r="O56" s="44">
        <f t="shared" si="11"/>
        <v>1.1226861407016702</v>
      </c>
      <c r="P56" s="44">
        <f t="shared" si="11"/>
        <v>1.0652678444560282</v>
      </c>
      <c r="Q56" s="44">
        <f t="shared" si="11"/>
        <v>1.1494764969617608</v>
      </c>
      <c r="R56" s="44">
        <f t="shared" si="11"/>
        <v>1.0615097478343709</v>
      </c>
      <c r="S56" s="44">
        <f t="shared" si="11"/>
        <v>0.99758291417271516</v>
      </c>
      <c r="T56" s="44">
        <f t="shared" si="11"/>
        <v>0.98691122090414329</v>
      </c>
      <c r="U56" s="44">
        <f t="shared" si="11"/>
        <v>0.99826497569269146</v>
      </c>
      <c r="V56" s="17" t="s">
        <v>58</v>
      </c>
      <c r="W56" s="17" t="s">
        <v>58</v>
      </c>
      <c r="X56" s="17" t="s">
        <v>58</v>
      </c>
      <c r="Y56" s="17" t="s">
        <v>58</v>
      </c>
      <c r="Z56" s="17" t="s">
        <v>58</v>
      </c>
      <c r="AA56" s="17" t="s">
        <v>58</v>
      </c>
      <c r="AB56" s="17" t="s">
        <v>58</v>
      </c>
      <c r="AC56" s="17" t="s">
        <v>58</v>
      </c>
      <c r="AD56" s="17" t="s">
        <v>58</v>
      </c>
      <c r="AE56" s="17" t="s">
        <v>58</v>
      </c>
      <c r="AF56" s="17" t="s">
        <v>58</v>
      </c>
    </row>
    <row r="57" spans="1:32" ht="15" customHeight="1" x14ac:dyDescent="0.25">
      <c r="A57" s="10" t="s">
        <v>50</v>
      </c>
      <c r="B57" s="2" t="s">
        <v>11</v>
      </c>
      <c r="C57" s="11" t="s">
        <v>0</v>
      </c>
      <c r="D57" s="17" t="s">
        <v>58</v>
      </c>
      <c r="E57" s="17" t="s">
        <v>58</v>
      </c>
      <c r="F57" s="17" t="s">
        <v>58</v>
      </c>
      <c r="G57" s="17" t="s">
        <v>58</v>
      </c>
      <c r="H57" s="17" t="s">
        <v>58</v>
      </c>
      <c r="I57" s="17" t="s">
        <v>58</v>
      </c>
      <c r="J57" s="17" t="s">
        <v>58</v>
      </c>
      <c r="K57" s="17" t="s">
        <v>58</v>
      </c>
      <c r="L57" s="44">
        <f t="shared" ref="L57:U57" si="12">L15/L36</f>
        <v>1.1455105284068334</v>
      </c>
      <c r="M57" s="44">
        <f t="shared" si="12"/>
        <v>1.0746645556301531</v>
      </c>
      <c r="N57" s="44">
        <f t="shared" si="12"/>
        <v>1.0333223025537177</v>
      </c>
      <c r="O57" s="44">
        <f t="shared" si="12"/>
        <v>1.0434721469183796</v>
      </c>
      <c r="P57" s="44">
        <f t="shared" si="12"/>
        <v>1.02555214748473</v>
      </c>
      <c r="Q57" s="44">
        <f t="shared" si="12"/>
        <v>1.0015568958317713</v>
      </c>
      <c r="R57" s="44">
        <f t="shared" si="12"/>
        <v>1.0691814923927387</v>
      </c>
      <c r="S57" s="44">
        <f t="shared" si="12"/>
        <v>0.92368143509141387</v>
      </c>
      <c r="T57" s="44">
        <f t="shared" si="12"/>
        <v>1.0310398369411014</v>
      </c>
      <c r="U57" s="44">
        <f t="shared" si="12"/>
        <v>1.0467809497308502</v>
      </c>
      <c r="V57" s="17" t="s">
        <v>58</v>
      </c>
      <c r="W57" s="17" t="s">
        <v>58</v>
      </c>
      <c r="X57" s="17" t="s">
        <v>58</v>
      </c>
      <c r="Y57" s="17" t="s">
        <v>58</v>
      </c>
      <c r="Z57" s="17" t="s">
        <v>58</v>
      </c>
      <c r="AA57" s="17" t="s">
        <v>58</v>
      </c>
      <c r="AB57" s="17" t="s">
        <v>58</v>
      </c>
      <c r="AC57" s="17" t="s">
        <v>58</v>
      </c>
      <c r="AD57" s="17" t="s">
        <v>58</v>
      </c>
      <c r="AE57" s="17" t="s">
        <v>58</v>
      </c>
      <c r="AF57" s="17" t="s">
        <v>58</v>
      </c>
    </row>
    <row r="58" spans="1:32" ht="15" customHeight="1" x14ac:dyDescent="0.25">
      <c r="C58" s="11" t="s">
        <v>1</v>
      </c>
      <c r="D58" s="17" t="s">
        <v>58</v>
      </c>
      <c r="E58" s="17" t="s">
        <v>58</v>
      </c>
      <c r="F58" s="17" t="s">
        <v>58</v>
      </c>
      <c r="G58" s="17" t="s">
        <v>58</v>
      </c>
      <c r="H58" s="17" t="s">
        <v>58</v>
      </c>
      <c r="I58" s="17" t="s">
        <v>58</v>
      </c>
      <c r="J58" s="17" t="s">
        <v>58</v>
      </c>
      <c r="K58" s="17" t="s">
        <v>58</v>
      </c>
      <c r="L58" s="44">
        <f t="shared" ref="L58:U58" si="13">L16/L37</f>
        <v>1.096761980084723</v>
      </c>
      <c r="M58" s="44">
        <f t="shared" si="13"/>
        <v>1.0482414731844183</v>
      </c>
      <c r="N58" s="44">
        <f t="shared" si="13"/>
        <v>1.0848049882825419</v>
      </c>
      <c r="O58" s="44">
        <f t="shared" si="13"/>
        <v>1.0446828483304289</v>
      </c>
      <c r="P58" s="44">
        <f t="shared" si="13"/>
        <v>1.0492476351509545</v>
      </c>
      <c r="Q58" s="44">
        <f t="shared" si="13"/>
        <v>1.1027387384913323</v>
      </c>
      <c r="R58" s="44">
        <f t="shared" si="13"/>
        <v>1.133061003233109</v>
      </c>
      <c r="S58" s="44">
        <f t="shared" si="13"/>
        <v>1.0476470838435599</v>
      </c>
      <c r="T58" s="44">
        <f t="shared" si="13"/>
        <v>1.091997315802562</v>
      </c>
      <c r="U58" s="44">
        <f t="shared" si="13"/>
        <v>1.2302327927957899</v>
      </c>
      <c r="V58" s="17" t="s">
        <v>58</v>
      </c>
      <c r="W58" s="17" t="s">
        <v>58</v>
      </c>
      <c r="X58" s="17" t="s">
        <v>58</v>
      </c>
      <c r="Y58" s="17" t="s">
        <v>58</v>
      </c>
      <c r="Z58" s="17" t="s">
        <v>58</v>
      </c>
      <c r="AA58" s="17" t="s">
        <v>58</v>
      </c>
      <c r="AB58" s="17" t="s">
        <v>58</v>
      </c>
      <c r="AC58" s="17" t="s">
        <v>58</v>
      </c>
      <c r="AD58" s="17" t="s">
        <v>58</v>
      </c>
      <c r="AE58" s="17" t="s">
        <v>58</v>
      </c>
      <c r="AF58" s="17" t="s">
        <v>58</v>
      </c>
    </row>
    <row r="59" spans="1:32" ht="15" customHeight="1" x14ac:dyDescent="0.25">
      <c r="C59" s="11" t="s">
        <v>2</v>
      </c>
      <c r="D59" s="17" t="s">
        <v>58</v>
      </c>
      <c r="E59" s="17" t="s">
        <v>58</v>
      </c>
      <c r="F59" s="17" t="s">
        <v>58</v>
      </c>
      <c r="G59" s="17" t="s">
        <v>58</v>
      </c>
      <c r="H59" s="17" t="s">
        <v>58</v>
      </c>
      <c r="I59" s="17" t="s">
        <v>58</v>
      </c>
      <c r="J59" s="17" t="s">
        <v>58</v>
      </c>
      <c r="K59" s="17" t="s">
        <v>58</v>
      </c>
      <c r="L59" s="44">
        <f t="shared" ref="L59:U59" si="14">L17/L38</f>
        <v>1.2060299884100836</v>
      </c>
      <c r="M59" s="44">
        <f t="shared" si="14"/>
        <v>1.1334220257959893</v>
      </c>
      <c r="N59" s="44">
        <f t="shared" si="14"/>
        <v>1.0774543937119672</v>
      </c>
      <c r="O59" s="44">
        <f t="shared" si="14"/>
        <v>1.143859649122807</v>
      </c>
      <c r="P59" s="44">
        <f t="shared" si="14"/>
        <v>1.0977515575084813</v>
      </c>
      <c r="Q59" s="44">
        <f t="shared" si="14"/>
        <v>1.1312323612417794</v>
      </c>
      <c r="R59" s="44">
        <f t="shared" si="14"/>
        <v>1.0497573011674299</v>
      </c>
      <c r="S59" s="44">
        <f t="shared" si="14"/>
        <v>0.98911141972281302</v>
      </c>
      <c r="T59" s="44">
        <f t="shared" si="14"/>
        <v>0.95519577831003744</v>
      </c>
      <c r="U59" s="44">
        <f t="shared" si="14"/>
        <v>0.96111643079348186</v>
      </c>
      <c r="V59" s="17" t="s">
        <v>58</v>
      </c>
      <c r="W59" s="17" t="s">
        <v>58</v>
      </c>
      <c r="X59" s="17" t="s">
        <v>58</v>
      </c>
      <c r="Y59" s="17" t="s">
        <v>58</v>
      </c>
      <c r="Z59" s="17" t="s">
        <v>58</v>
      </c>
      <c r="AA59" s="17" t="s">
        <v>58</v>
      </c>
      <c r="AB59" s="17" t="s">
        <v>58</v>
      </c>
      <c r="AC59" s="17" t="s">
        <v>58</v>
      </c>
      <c r="AD59" s="17" t="s">
        <v>58</v>
      </c>
      <c r="AE59" s="17" t="s">
        <v>58</v>
      </c>
      <c r="AF59" s="17" t="s">
        <v>58</v>
      </c>
    </row>
    <row r="60" spans="1:32" ht="15" customHeight="1" x14ac:dyDescent="0.25">
      <c r="A60" s="10" t="s">
        <v>50</v>
      </c>
      <c r="B60" s="2" t="s">
        <v>13</v>
      </c>
      <c r="C60" s="11" t="s">
        <v>0</v>
      </c>
      <c r="D60" s="17" t="s">
        <v>58</v>
      </c>
      <c r="E60" s="17" t="s">
        <v>58</v>
      </c>
      <c r="F60" s="17" t="s">
        <v>58</v>
      </c>
      <c r="G60" s="17" t="s">
        <v>58</v>
      </c>
      <c r="H60" s="17" t="s">
        <v>58</v>
      </c>
      <c r="I60" s="17" t="s">
        <v>58</v>
      </c>
      <c r="J60" s="17" t="s">
        <v>58</v>
      </c>
      <c r="K60" s="17" t="s">
        <v>58</v>
      </c>
      <c r="L60" s="44">
        <f t="shared" ref="L60:U60" si="15">L18/L39</f>
        <v>1.1331895465113022</v>
      </c>
      <c r="M60" s="44">
        <f t="shared" si="15"/>
        <v>1.0824634389117174</v>
      </c>
      <c r="N60" s="44">
        <f t="shared" si="15"/>
        <v>1.0483651613964231</v>
      </c>
      <c r="O60" s="44">
        <f t="shared" si="15"/>
        <v>1.0526739114892312</v>
      </c>
      <c r="P60" s="44">
        <f t="shared" si="15"/>
        <v>1.0201097871884393</v>
      </c>
      <c r="Q60" s="44">
        <f t="shared" si="15"/>
        <v>0.99955853433398889</v>
      </c>
      <c r="R60" s="44">
        <f t="shared" si="15"/>
        <v>1.0709318662817244</v>
      </c>
      <c r="S60" s="44">
        <f t="shared" si="15"/>
        <v>0.93125110906549702</v>
      </c>
      <c r="T60" s="44">
        <f t="shared" si="15"/>
        <v>1.0120345532833017</v>
      </c>
      <c r="U60" s="44">
        <f t="shared" si="15"/>
        <v>1.0580982822183993</v>
      </c>
      <c r="V60" s="17" t="s">
        <v>58</v>
      </c>
      <c r="W60" s="17" t="s">
        <v>58</v>
      </c>
      <c r="X60" s="17" t="s">
        <v>58</v>
      </c>
      <c r="Y60" s="17" t="s">
        <v>58</v>
      </c>
      <c r="Z60" s="17" t="s">
        <v>58</v>
      </c>
      <c r="AA60" s="17" t="s">
        <v>58</v>
      </c>
      <c r="AB60" s="17" t="s">
        <v>58</v>
      </c>
      <c r="AC60" s="17" t="s">
        <v>58</v>
      </c>
      <c r="AD60" s="17" t="s">
        <v>58</v>
      </c>
      <c r="AE60" s="17" t="s">
        <v>58</v>
      </c>
      <c r="AF60" s="17" t="s">
        <v>58</v>
      </c>
    </row>
    <row r="61" spans="1:32" ht="15" customHeight="1" x14ac:dyDescent="0.25">
      <c r="C61" s="11" t="s">
        <v>1</v>
      </c>
      <c r="D61" s="17" t="s">
        <v>58</v>
      </c>
      <c r="E61" s="17" t="s">
        <v>58</v>
      </c>
      <c r="F61" s="17" t="s">
        <v>58</v>
      </c>
      <c r="G61" s="17" t="s">
        <v>58</v>
      </c>
      <c r="H61" s="17" t="s">
        <v>58</v>
      </c>
      <c r="I61" s="17" t="s">
        <v>58</v>
      </c>
      <c r="J61" s="17" t="s">
        <v>58</v>
      </c>
      <c r="K61" s="17" t="s">
        <v>58</v>
      </c>
      <c r="L61" s="44">
        <f t="shared" ref="L61:U61" si="16">L19/L40</f>
        <v>1.1312500000000001</v>
      </c>
      <c r="M61" s="44">
        <f t="shared" si="16"/>
        <v>1.043172470093245</v>
      </c>
      <c r="N61" s="44">
        <f t="shared" si="16"/>
        <v>1.0359758828045056</v>
      </c>
      <c r="O61" s="44">
        <f t="shared" si="16"/>
        <v>1.0757049941394188</v>
      </c>
      <c r="P61" s="44">
        <f t="shared" si="16"/>
        <v>1.0707719088288092</v>
      </c>
      <c r="Q61" s="44">
        <f t="shared" si="16"/>
        <v>1.0755993551819636</v>
      </c>
      <c r="R61" s="44">
        <f t="shared" si="16"/>
        <v>1.091319651060068</v>
      </c>
      <c r="S61" s="44">
        <f t="shared" si="16"/>
        <v>1.062461910511425</v>
      </c>
      <c r="T61" s="44">
        <f t="shared" si="16"/>
        <v>1.1299584651986057</v>
      </c>
      <c r="U61" s="44">
        <f t="shared" si="16"/>
        <v>1.2537927650969218</v>
      </c>
      <c r="V61" s="17" t="s">
        <v>58</v>
      </c>
      <c r="W61" s="17" t="s">
        <v>58</v>
      </c>
      <c r="X61" s="17" t="s">
        <v>58</v>
      </c>
      <c r="Y61" s="17" t="s">
        <v>58</v>
      </c>
      <c r="Z61" s="17" t="s">
        <v>58</v>
      </c>
      <c r="AA61" s="17" t="s">
        <v>58</v>
      </c>
      <c r="AB61" s="17" t="s">
        <v>58</v>
      </c>
      <c r="AC61" s="17" t="s">
        <v>58</v>
      </c>
      <c r="AD61" s="17" t="s">
        <v>58</v>
      </c>
      <c r="AE61" s="17" t="s">
        <v>58</v>
      </c>
      <c r="AF61" s="17" t="s">
        <v>58</v>
      </c>
    </row>
    <row r="62" spans="1:32" ht="15" customHeight="1" x14ac:dyDescent="0.25">
      <c r="C62" s="11" t="s">
        <v>2</v>
      </c>
      <c r="D62" s="17" t="s">
        <v>58</v>
      </c>
      <c r="E62" s="17" t="s">
        <v>58</v>
      </c>
      <c r="F62" s="17" t="s">
        <v>58</v>
      </c>
      <c r="G62" s="17" t="s">
        <v>58</v>
      </c>
      <c r="H62" s="17" t="s">
        <v>58</v>
      </c>
      <c r="I62" s="17" t="s">
        <v>58</v>
      </c>
      <c r="J62" s="17" t="s">
        <v>58</v>
      </c>
      <c r="K62" s="17" t="s">
        <v>58</v>
      </c>
      <c r="L62" s="44">
        <f t="shared" ref="L62:U62" si="17">L20/L41</f>
        <v>1.1588221215720123</v>
      </c>
      <c r="M62" s="44">
        <f t="shared" si="17"/>
        <v>1.0792654214409056</v>
      </c>
      <c r="N62" s="44">
        <f t="shared" si="17"/>
        <v>1.05513925585827</v>
      </c>
      <c r="O62" s="44">
        <f t="shared" si="17"/>
        <v>1.0895091900927718</v>
      </c>
      <c r="P62" s="44">
        <f t="shared" si="17"/>
        <v>1.0860540098916061</v>
      </c>
      <c r="Q62" s="44">
        <f t="shared" si="17"/>
        <v>1.1089686879593241</v>
      </c>
      <c r="R62" s="44">
        <f t="shared" si="17"/>
        <v>1.0573501072508631</v>
      </c>
      <c r="S62" s="44">
        <f t="shared" si="17"/>
        <v>1.0166560634049537</v>
      </c>
      <c r="T62" s="44">
        <f t="shared" si="17"/>
        <v>1.0492312566895583</v>
      </c>
      <c r="U62" s="44">
        <f t="shared" si="17"/>
        <v>1.0742335247826595</v>
      </c>
      <c r="V62" s="17" t="s">
        <v>58</v>
      </c>
      <c r="W62" s="17" t="s">
        <v>58</v>
      </c>
      <c r="X62" s="17" t="s">
        <v>58</v>
      </c>
      <c r="Y62" s="17" t="s">
        <v>58</v>
      </c>
      <c r="Z62" s="17" t="s">
        <v>58</v>
      </c>
      <c r="AA62" s="17" t="s">
        <v>58</v>
      </c>
      <c r="AB62" s="17" t="s">
        <v>58</v>
      </c>
      <c r="AC62" s="17" t="s">
        <v>58</v>
      </c>
      <c r="AD62" s="17" t="s">
        <v>58</v>
      </c>
      <c r="AE62" s="17" t="s">
        <v>58</v>
      </c>
      <c r="AF62" s="17" t="s">
        <v>58</v>
      </c>
    </row>
    <row r="63" spans="1:32" ht="15" customHeight="1" x14ac:dyDescent="0.25">
      <c r="D63" s="5"/>
      <c r="E63" s="5"/>
      <c r="F63" s="5"/>
      <c r="G63" s="5"/>
      <c r="H63" s="5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spans="1:32" ht="15" customHeight="1" x14ac:dyDescent="0.25">
      <c r="A64" s="85" t="s">
        <v>57</v>
      </c>
      <c r="B64" s="86"/>
      <c r="C64" s="87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spans="1:32" ht="15" customHeight="1" x14ac:dyDescent="0.25">
      <c r="A65" s="10" t="s">
        <v>48</v>
      </c>
      <c r="B65" s="2" t="s">
        <v>11</v>
      </c>
      <c r="C65" s="11" t="s">
        <v>0</v>
      </c>
      <c r="D65" s="17" t="s">
        <v>58</v>
      </c>
      <c r="E65" s="17" t="s">
        <v>58</v>
      </c>
      <c r="F65" s="17" t="s">
        <v>58</v>
      </c>
      <c r="G65" s="17" t="s">
        <v>58</v>
      </c>
      <c r="H65" s="17" t="s">
        <v>58</v>
      </c>
      <c r="I65" s="17" t="s">
        <v>58</v>
      </c>
      <c r="J65" s="17" t="s">
        <v>58</v>
      </c>
      <c r="K65" s="17" t="s">
        <v>58</v>
      </c>
      <c r="L65" s="17" t="s">
        <v>58</v>
      </c>
      <c r="M65" s="17" t="s">
        <v>58</v>
      </c>
      <c r="N65" s="17" t="s">
        <v>58</v>
      </c>
      <c r="O65" s="17" t="s">
        <v>58</v>
      </c>
      <c r="P65" s="17" t="s">
        <v>58</v>
      </c>
      <c r="Q65" s="17" t="s">
        <v>58</v>
      </c>
      <c r="R65" s="17" t="s">
        <v>58</v>
      </c>
      <c r="S65" s="17" t="s">
        <v>58</v>
      </c>
      <c r="T65" s="17" t="s">
        <v>58</v>
      </c>
      <c r="U65" s="17" t="s">
        <v>58</v>
      </c>
      <c r="V65" s="39">
        <f>V3/U3-1</f>
        <v>4.7716840538303495E-2</v>
      </c>
      <c r="W65" s="39">
        <f t="shared" ref="W65:AE65" si="18">W3/V3-1</f>
        <v>3.4692994376634312E-2</v>
      </c>
      <c r="X65" s="39">
        <f t="shared" si="18"/>
        <v>3.3529747050752512E-2</v>
      </c>
      <c r="Y65" s="39">
        <f t="shared" si="18"/>
        <v>3.2441975808090495E-2</v>
      </c>
      <c r="Z65" s="39">
        <f t="shared" si="18"/>
        <v>3.1422565692079907E-2</v>
      </c>
      <c r="AA65" s="39">
        <f t="shared" si="18"/>
        <v>7.6305319137245142E-2</v>
      </c>
      <c r="AB65" s="39">
        <f t="shared" si="18"/>
        <v>3.1563166745534277E-2</v>
      </c>
      <c r="AC65" s="39">
        <f t="shared" si="18"/>
        <v>4.8203040309062306E-2</v>
      </c>
      <c r="AD65" s="39">
        <f t="shared" si="18"/>
        <v>2.496975594843498E-2</v>
      </c>
      <c r="AE65" s="39">
        <f t="shared" si="18"/>
        <v>2.6563162985763666E-2</v>
      </c>
      <c r="AF65" s="39">
        <f>AF3/AE3-1</f>
        <v>2.7173296928128865E-2</v>
      </c>
    </row>
    <row r="66" spans="1:32" ht="15" customHeight="1" x14ac:dyDescent="0.25">
      <c r="C66" s="11" t="s">
        <v>1</v>
      </c>
      <c r="D66" s="17" t="s">
        <v>58</v>
      </c>
      <c r="E66" s="17" t="s">
        <v>58</v>
      </c>
      <c r="F66" s="17" t="s">
        <v>58</v>
      </c>
      <c r="G66" s="17" t="s">
        <v>58</v>
      </c>
      <c r="H66" s="17" t="s">
        <v>58</v>
      </c>
      <c r="I66" s="17" t="s">
        <v>58</v>
      </c>
      <c r="J66" s="17" t="s">
        <v>58</v>
      </c>
      <c r="K66" s="17" t="s">
        <v>58</v>
      </c>
      <c r="L66" s="17" t="s">
        <v>58</v>
      </c>
      <c r="M66" s="17" t="s">
        <v>58</v>
      </c>
      <c r="N66" s="17" t="s">
        <v>58</v>
      </c>
      <c r="O66" s="17" t="s">
        <v>58</v>
      </c>
      <c r="P66" s="17" t="s">
        <v>58</v>
      </c>
      <c r="Q66" s="17" t="s">
        <v>58</v>
      </c>
      <c r="R66" s="17" t="s">
        <v>58</v>
      </c>
      <c r="S66" s="17" t="s">
        <v>58</v>
      </c>
      <c r="T66" s="17" t="s">
        <v>58</v>
      </c>
      <c r="U66" s="17" t="s">
        <v>58</v>
      </c>
      <c r="V66" s="39">
        <f t="shared" ref="V66:AF66" si="19">V4/U4-1</f>
        <v>-0.12032295141123772</v>
      </c>
      <c r="W66" s="39">
        <f t="shared" si="19"/>
        <v>3.861597459818622E-2</v>
      </c>
      <c r="X66" s="39">
        <f t="shared" si="19"/>
        <v>3.7180224012177021E-2</v>
      </c>
      <c r="Y66" s="39">
        <f t="shared" si="19"/>
        <v>3.5847409303998212E-2</v>
      </c>
      <c r="Z66" s="39">
        <f t="shared" si="19"/>
        <v>3.4606843616169947E-2</v>
      </c>
      <c r="AA66" s="39">
        <f t="shared" si="19"/>
        <v>0.18747420948622517</v>
      </c>
      <c r="AB66" s="39">
        <f t="shared" si="19"/>
        <v>5.1397797247334731E-2</v>
      </c>
      <c r="AC66" s="39">
        <f t="shared" si="19"/>
        <v>4.7830481990605911E-2</v>
      </c>
      <c r="AD66" s="39">
        <f t="shared" si="19"/>
        <v>4.1461687589078533E-2</v>
      </c>
      <c r="AE66" s="39">
        <f t="shared" si="19"/>
        <v>4.8617579055851401E-2</v>
      </c>
      <c r="AF66" s="39">
        <f t="shared" si="19"/>
        <v>5.9134324170020403E-2</v>
      </c>
    </row>
    <row r="67" spans="1:32" ht="15" customHeight="1" x14ac:dyDescent="0.25">
      <c r="C67" s="11" t="s">
        <v>2</v>
      </c>
      <c r="D67" s="17" t="s">
        <v>58</v>
      </c>
      <c r="E67" s="17" t="s">
        <v>58</v>
      </c>
      <c r="F67" s="17" t="s">
        <v>58</v>
      </c>
      <c r="G67" s="17" t="s">
        <v>58</v>
      </c>
      <c r="H67" s="17" t="s">
        <v>58</v>
      </c>
      <c r="I67" s="17" t="s">
        <v>58</v>
      </c>
      <c r="J67" s="17" t="s">
        <v>58</v>
      </c>
      <c r="K67" s="17" t="s">
        <v>58</v>
      </c>
      <c r="L67" s="17" t="s">
        <v>58</v>
      </c>
      <c r="M67" s="17" t="s">
        <v>58</v>
      </c>
      <c r="N67" s="17" t="s">
        <v>58</v>
      </c>
      <c r="O67" s="17" t="s">
        <v>58</v>
      </c>
      <c r="P67" s="17" t="s">
        <v>58</v>
      </c>
      <c r="Q67" s="17" t="s">
        <v>58</v>
      </c>
      <c r="R67" s="17" t="s">
        <v>58</v>
      </c>
      <c r="S67" s="17" t="s">
        <v>58</v>
      </c>
      <c r="T67" s="17" t="s">
        <v>58</v>
      </c>
      <c r="U67" s="17" t="s">
        <v>58</v>
      </c>
      <c r="V67" s="39">
        <f t="shared" ref="V67:AF67" si="20">V5/U5-1</f>
        <v>-6.3553878475577918E-2</v>
      </c>
      <c r="W67" s="39">
        <f t="shared" si="20"/>
        <v>4.187748293162552E-2</v>
      </c>
      <c r="X67" s="39">
        <f t="shared" si="20"/>
        <v>4.0194248956961554E-2</v>
      </c>
      <c r="Y67" s="39">
        <f t="shared" si="20"/>
        <v>3.8641099003656532E-2</v>
      </c>
      <c r="Z67" s="39">
        <f t="shared" si="20"/>
        <v>3.7203514323401965E-2</v>
      </c>
      <c r="AA67" s="39">
        <f t="shared" si="20"/>
        <v>0.18252295186120993</v>
      </c>
      <c r="AB67" s="39">
        <f t="shared" si="20"/>
        <v>5.9707139325348546E-2</v>
      </c>
      <c r="AC67" s="39">
        <f t="shared" si="20"/>
        <v>5.4799084716703916E-2</v>
      </c>
      <c r="AD67" s="39">
        <f t="shared" si="20"/>
        <v>4.2820751813443358E-2</v>
      </c>
      <c r="AE67" s="39">
        <f t="shared" si="20"/>
        <v>4.2434450364250642E-2</v>
      </c>
      <c r="AF67" s="39">
        <f t="shared" si="20"/>
        <v>5.1897157105751823E-2</v>
      </c>
    </row>
    <row r="68" spans="1:32" ht="15" customHeight="1" x14ac:dyDescent="0.25">
      <c r="A68" s="10" t="s">
        <v>48</v>
      </c>
      <c r="B68" s="2" t="s">
        <v>13</v>
      </c>
      <c r="C68" s="11" t="s">
        <v>0</v>
      </c>
      <c r="D68" s="17" t="s">
        <v>58</v>
      </c>
      <c r="E68" s="17" t="s">
        <v>58</v>
      </c>
      <c r="F68" s="17" t="s">
        <v>58</v>
      </c>
      <c r="G68" s="17" t="s">
        <v>58</v>
      </c>
      <c r="H68" s="17" t="s">
        <v>58</v>
      </c>
      <c r="I68" s="17" t="s">
        <v>58</v>
      </c>
      <c r="J68" s="17" t="s">
        <v>58</v>
      </c>
      <c r="K68" s="17" t="s">
        <v>58</v>
      </c>
      <c r="L68" s="17" t="s">
        <v>58</v>
      </c>
      <c r="M68" s="17" t="s">
        <v>58</v>
      </c>
      <c r="N68" s="17" t="s">
        <v>58</v>
      </c>
      <c r="O68" s="17" t="s">
        <v>58</v>
      </c>
      <c r="P68" s="17" t="s">
        <v>58</v>
      </c>
      <c r="Q68" s="17" t="s">
        <v>58</v>
      </c>
      <c r="R68" s="17" t="s">
        <v>58</v>
      </c>
      <c r="S68" s="17" t="s">
        <v>58</v>
      </c>
      <c r="T68" s="17" t="s">
        <v>58</v>
      </c>
      <c r="U68" s="17" t="s">
        <v>58</v>
      </c>
      <c r="V68" s="39">
        <f t="shared" ref="V68:AF68" si="21">V6/U6-1</f>
        <v>6.5586294577899551E-2</v>
      </c>
      <c r="W68" s="39">
        <f t="shared" si="21"/>
        <v>3.5531872402095876E-2</v>
      </c>
      <c r="X68" s="39">
        <f t="shared" si="21"/>
        <v>3.4312678681413855E-2</v>
      </c>
      <c r="Y68" s="39">
        <f t="shared" si="21"/>
        <v>3.3174376944858475E-2</v>
      </c>
      <c r="Z68" s="39">
        <f t="shared" si="21"/>
        <v>3.2109175067762674E-2</v>
      </c>
      <c r="AA68" s="39">
        <f t="shared" si="21"/>
        <v>9.1156577385701043E-2</v>
      </c>
      <c r="AB68" s="39">
        <f t="shared" si="21"/>
        <v>2.7905993398562368E-2</v>
      </c>
      <c r="AC68" s="39">
        <f t="shared" si="21"/>
        <v>4.9367250688019171E-2</v>
      </c>
      <c r="AD68" s="39">
        <f t="shared" si="21"/>
        <v>2.1065463009705576E-2</v>
      </c>
      <c r="AE68" s="39">
        <f t="shared" si="21"/>
        <v>2.399967995593677E-2</v>
      </c>
      <c r="AF68" s="39">
        <f t="shared" si="21"/>
        <v>2.5671862041835691E-2</v>
      </c>
    </row>
    <row r="69" spans="1:32" ht="15" customHeight="1" x14ac:dyDescent="0.25">
      <c r="C69" s="11" t="s">
        <v>1</v>
      </c>
      <c r="D69" s="17" t="s">
        <v>58</v>
      </c>
      <c r="E69" s="17" t="s">
        <v>58</v>
      </c>
      <c r="F69" s="17" t="s">
        <v>58</v>
      </c>
      <c r="G69" s="17" t="s">
        <v>58</v>
      </c>
      <c r="H69" s="17" t="s">
        <v>58</v>
      </c>
      <c r="I69" s="17" t="s">
        <v>58</v>
      </c>
      <c r="J69" s="17" t="s">
        <v>58</v>
      </c>
      <c r="K69" s="17" t="s">
        <v>58</v>
      </c>
      <c r="L69" s="17" t="s">
        <v>58</v>
      </c>
      <c r="M69" s="17" t="s">
        <v>58</v>
      </c>
      <c r="N69" s="17" t="s">
        <v>58</v>
      </c>
      <c r="O69" s="17" t="s">
        <v>58</v>
      </c>
      <c r="P69" s="17" t="s">
        <v>58</v>
      </c>
      <c r="Q69" s="17" t="s">
        <v>58</v>
      </c>
      <c r="R69" s="17" t="s">
        <v>58</v>
      </c>
      <c r="S69" s="17" t="s">
        <v>58</v>
      </c>
      <c r="T69" s="17" t="s">
        <v>58</v>
      </c>
      <c r="U69" s="17" t="s">
        <v>58</v>
      </c>
      <c r="V69" s="39">
        <f t="shared" ref="V69:AF69" si="22">V7/U7-1</f>
        <v>-0.12431560588616508</v>
      </c>
      <c r="W69" s="39">
        <f t="shared" si="22"/>
        <v>3.7795751514719811E-2</v>
      </c>
      <c r="X69" s="39">
        <f t="shared" si="22"/>
        <v>3.6419258278476141E-2</v>
      </c>
      <c r="Y69" s="39">
        <f t="shared" si="22"/>
        <v>3.5139503620338353E-2</v>
      </c>
      <c r="Z69" s="39">
        <f t="shared" si="22"/>
        <v>3.3946635692522653E-2</v>
      </c>
      <c r="AA69" s="39">
        <f t="shared" si="22"/>
        <v>0.20829915292249845</v>
      </c>
      <c r="AB69" s="39">
        <f t="shared" si="22"/>
        <v>4.3564366903516838E-2</v>
      </c>
      <c r="AC69" s="39">
        <f t="shared" si="22"/>
        <v>4.4010359296147383E-2</v>
      </c>
      <c r="AD69" s="39">
        <f t="shared" si="22"/>
        <v>4.0453575084920868E-2</v>
      </c>
      <c r="AE69" s="39">
        <f t="shared" si="22"/>
        <v>4.6896200350947215E-2</v>
      </c>
      <c r="AF69" s="39">
        <f t="shared" si="22"/>
        <v>5.9423777245773968E-2</v>
      </c>
    </row>
    <row r="70" spans="1:32" ht="15" customHeight="1" x14ac:dyDescent="0.25">
      <c r="C70" s="11" t="s">
        <v>2</v>
      </c>
      <c r="D70" s="17" t="s">
        <v>58</v>
      </c>
      <c r="E70" s="17" t="s">
        <v>58</v>
      </c>
      <c r="F70" s="17" t="s">
        <v>58</v>
      </c>
      <c r="G70" s="17" t="s">
        <v>58</v>
      </c>
      <c r="H70" s="17" t="s">
        <v>58</v>
      </c>
      <c r="I70" s="17" t="s">
        <v>58</v>
      </c>
      <c r="J70" s="17" t="s">
        <v>58</v>
      </c>
      <c r="K70" s="17" t="s">
        <v>58</v>
      </c>
      <c r="L70" s="17" t="s">
        <v>58</v>
      </c>
      <c r="M70" s="17" t="s">
        <v>58</v>
      </c>
      <c r="N70" s="17" t="s">
        <v>58</v>
      </c>
      <c r="O70" s="17" t="s">
        <v>58</v>
      </c>
      <c r="P70" s="17" t="s">
        <v>58</v>
      </c>
      <c r="Q70" s="17" t="s">
        <v>58</v>
      </c>
      <c r="R70" s="17" t="s">
        <v>58</v>
      </c>
      <c r="S70" s="17" t="s">
        <v>58</v>
      </c>
      <c r="T70" s="17" t="s">
        <v>58</v>
      </c>
      <c r="U70" s="17" t="s">
        <v>58</v>
      </c>
      <c r="V70" s="39">
        <f t="shared" ref="V70:AF70" si="23">V8/U8-1</f>
        <v>-2.6053767151009266E-2</v>
      </c>
      <c r="W70" s="39">
        <f t="shared" si="23"/>
        <v>4.0064324497935955E-2</v>
      </c>
      <c r="X70" s="39">
        <f t="shared" si="23"/>
        <v>3.8521006397624236E-2</v>
      </c>
      <c r="Y70" s="39">
        <f t="shared" si="23"/>
        <v>3.709217835781109E-2</v>
      </c>
      <c r="Z70" s="39">
        <f t="shared" si="23"/>
        <v>3.576555597644715E-2</v>
      </c>
      <c r="AA70" s="39">
        <f t="shared" si="23"/>
        <v>0.15928932478967028</v>
      </c>
      <c r="AB70" s="39">
        <f t="shared" si="23"/>
        <v>5.4753513449024016E-2</v>
      </c>
      <c r="AC70" s="39">
        <f t="shared" si="23"/>
        <v>5.0764125573372176E-2</v>
      </c>
      <c r="AD70" s="39">
        <f t="shared" si="23"/>
        <v>4.0899028610943189E-2</v>
      </c>
      <c r="AE70" s="39">
        <f t="shared" si="23"/>
        <v>3.8624213395876517E-2</v>
      </c>
      <c r="AF70" s="39">
        <f t="shared" si="23"/>
        <v>4.4311483177497113E-2</v>
      </c>
    </row>
    <row r="71" spans="1:32" ht="15" customHeight="1" x14ac:dyDescent="0.25">
      <c r="A71" s="10" t="s">
        <v>16</v>
      </c>
      <c r="B71" s="2" t="s">
        <v>11</v>
      </c>
      <c r="C71" s="11" t="s">
        <v>0</v>
      </c>
      <c r="D71" s="17" t="s">
        <v>58</v>
      </c>
      <c r="E71" s="17" t="s">
        <v>58</v>
      </c>
      <c r="F71" s="17" t="s">
        <v>58</v>
      </c>
      <c r="G71" s="17" t="s">
        <v>58</v>
      </c>
      <c r="H71" s="17" t="s">
        <v>58</v>
      </c>
      <c r="I71" s="17" t="s">
        <v>58</v>
      </c>
      <c r="J71" s="17" t="s">
        <v>58</v>
      </c>
      <c r="K71" s="17" t="s">
        <v>58</v>
      </c>
      <c r="L71" s="17" t="s">
        <v>58</v>
      </c>
      <c r="M71" s="17" t="s">
        <v>58</v>
      </c>
      <c r="N71" s="17" t="s">
        <v>58</v>
      </c>
      <c r="O71" s="17" t="s">
        <v>58</v>
      </c>
      <c r="P71" s="17" t="s">
        <v>58</v>
      </c>
      <c r="Q71" s="17" t="s">
        <v>58</v>
      </c>
      <c r="R71" s="17" t="s">
        <v>58</v>
      </c>
      <c r="S71" s="17" t="s">
        <v>58</v>
      </c>
      <c r="T71" s="17" t="s">
        <v>58</v>
      </c>
      <c r="U71" s="17" t="s">
        <v>58</v>
      </c>
      <c r="V71" s="39">
        <f t="shared" ref="V71:AF71" si="24">V9/U9-1</f>
        <v>5.689783111928981E-2</v>
      </c>
      <c r="W71" s="39">
        <f t="shared" si="24"/>
        <v>3.5898737171869088E-2</v>
      </c>
      <c r="X71" s="39">
        <f t="shared" si="24"/>
        <v>3.4654677994759409E-2</v>
      </c>
      <c r="Y71" s="39">
        <f t="shared" si="24"/>
        <v>3.3493955743691073E-2</v>
      </c>
      <c r="Z71" s="39">
        <f t="shared" si="24"/>
        <v>3.240846795237351E-2</v>
      </c>
      <c r="AA71" s="39">
        <f t="shared" si="24"/>
        <v>0.12805106232660357</v>
      </c>
      <c r="AB71" s="39">
        <f t="shared" si="24"/>
        <v>2.5276795159940191E-2</v>
      </c>
      <c r="AC71" s="39">
        <f t="shared" si="24"/>
        <v>4.3102696695871634E-2</v>
      </c>
      <c r="AD71" s="39">
        <f t="shared" si="24"/>
        <v>2.2685278139928267E-2</v>
      </c>
      <c r="AE71" s="39">
        <f t="shared" si="24"/>
        <v>2.8636308015929091E-2</v>
      </c>
      <c r="AF71" s="39">
        <f t="shared" si="24"/>
        <v>2.8014705284419961E-2</v>
      </c>
    </row>
    <row r="72" spans="1:32" ht="15" customHeight="1" x14ac:dyDescent="0.25">
      <c r="C72" s="11" t="s">
        <v>1</v>
      </c>
      <c r="D72" s="17" t="s">
        <v>58</v>
      </c>
      <c r="E72" s="17" t="s">
        <v>58</v>
      </c>
      <c r="F72" s="17" t="s">
        <v>58</v>
      </c>
      <c r="G72" s="17" t="s">
        <v>58</v>
      </c>
      <c r="H72" s="17" t="s">
        <v>58</v>
      </c>
      <c r="I72" s="17" t="s">
        <v>58</v>
      </c>
      <c r="J72" s="17" t="s">
        <v>58</v>
      </c>
      <c r="K72" s="17" t="s">
        <v>58</v>
      </c>
      <c r="L72" s="17" t="s">
        <v>58</v>
      </c>
      <c r="M72" s="17" t="s">
        <v>58</v>
      </c>
      <c r="N72" s="17" t="s">
        <v>58</v>
      </c>
      <c r="O72" s="17" t="s">
        <v>58</v>
      </c>
      <c r="P72" s="17" t="s">
        <v>58</v>
      </c>
      <c r="Q72" s="17" t="s">
        <v>58</v>
      </c>
      <c r="R72" s="17" t="s">
        <v>58</v>
      </c>
      <c r="S72" s="17" t="s">
        <v>58</v>
      </c>
      <c r="T72" s="17" t="s">
        <v>58</v>
      </c>
      <c r="U72" s="17" t="s">
        <v>58</v>
      </c>
      <c r="V72" s="39">
        <f t="shared" ref="V72:AF72" si="25">V10/U10-1</f>
        <v>-0.13969679174384486</v>
      </c>
      <c r="W72" s="39">
        <f t="shared" si="25"/>
        <v>3.608616000231879E-2</v>
      </c>
      <c r="X72" s="39">
        <f t="shared" si="25"/>
        <v>3.4829304159618824E-2</v>
      </c>
      <c r="Y72" s="39">
        <f t="shared" si="25"/>
        <v>3.3657052442991331E-2</v>
      </c>
      <c r="Z72" s="39">
        <f t="shared" si="25"/>
        <v>3.2561140431848212E-2</v>
      </c>
      <c r="AA72" s="39">
        <f t="shared" si="25"/>
        <v>0.16199457114052795</v>
      </c>
      <c r="AB72" s="39">
        <f t="shared" si="25"/>
        <v>4.5417935454114211E-2</v>
      </c>
      <c r="AC72" s="39">
        <f t="shared" si="25"/>
        <v>4.9402781817150299E-2</v>
      </c>
      <c r="AD72" s="39">
        <f t="shared" si="25"/>
        <v>3.9671299100114688E-2</v>
      </c>
      <c r="AE72" s="39">
        <f t="shared" si="25"/>
        <v>4.8662026341532716E-2</v>
      </c>
      <c r="AF72" s="39">
        <f t="shared" si="25"/>
        <v>6.0263139725864834E-2</v>
      </c>
    </row>
    <row r="73" spans="1:32" ht="15" customHeight="1" x14ac:dyDescent="0.25">
      <c r="C73" s="11" t="s">
        <v>2</v>
      </c>
      <c r="D73" s="17" t="s">
        <v>58</v>
      </c>
      <c r="E73" s="17" t="s">
        <v>58</v>
      </c>
      <c r="F73" s="17" t="s">
        <v>58</v>
      </c>
      <c r="G73" s="17" t="s">
        <v>58</v>
      </c>
      <c r="H73" s="17" t="s">
        <v>58</v>
      </c>
      <c r="I73" s="17" t="s">
        <v>58</v>
      </c>
      <c r="J73" s="17" t="s">
        <v>58</v>
      </c>
      <c r="K73" s="17" t="s">
        <v>58</v>
      </c>
      <c r="L73" s="17" t="s">
        <v>58</v>
      </c>
      <c r="M73" s="17" t="s">
        <v>58</v>
      </c>
      <c r="N73" s="17" t="s">
        <v>58</v>
      </c>
      <c r="O73" s="17" t="s">
        <v>58</v>
      </c>
      <c r="P73" s="17" t="s">
        <v>58</v>
      </c>
      <c r="Q73" s="17" t="s">
        <v>58</v>
      </c>
      <c r="R73" s="17" t="s">
        <v>58</v>
      </c>
      <c r="S73" s="17" t="s">
        <v>58</v>
      </c>
      <c r="T73" s="17" t="s">
        <v>58</v>
      </c>
      <c r="U73" s="17" t="s">
        <v>58</v>
      </c>
      <c r="V73" s="39">
        <f t="shared" ref="V73:AF73" si="26">V11/U11-1</f>
        <v>0.15167290180003112</v>
      </c>
      <c r="W73" s="39">
        <f t="shared" si="26"/>
        <v>3.5086034229818042E-2</v>
      </c>
      <c r="X73" s="39">
        <f t="shared" si="26"/>
        <v>3.3896732319369294E-2</v>
      </c>
      <c r="Y73" s="39">
        <f t="shared" si="26"/>
        <v>3.2785413919763196E-2</v>
      </c>
      <c r="Z73" s="39">
        <f t="shared" si="26"/>
        <v>3.1744652352642788E-2</v>
      </c>
      <c r="AA73" s="39">
        <f t="shared" si="26"/>
        <v>0.16400094980902402</v>
      </c>
      <c r="AB73" s="39">
        <f t="shared" si="26"/>
        <v>5.0881657853890205E-2</v>
      </c>
      <c r="AC73" s="39">
        <f t="shared" si="26"/>
        <v>3.2869267635271315E-2</v>
      </c>
      <c r="AD73" s="39">
        <f t="shared" si="26"/>
        <v>3.4383902104081931E-2</v>
      </c>
      <c r="AE73" s="39">
        <f t="shared" si="26"/>
        <v>2.1870110662161713E-2</v>
      </c>
      <c r="AF73" s="39">
        <f t="shared" si="26"/>
        <v>2.0065272955544167E-2</v>
      </c>
    </row>
    <row r="74" spans="1:32" ht="15" customHeight="1" x14ac:dyDescent="0.25">
      <c r="A74" s="10" t="s">
        <v>16</v>
      </c>
      <c r="B74" s="2" t="s">
        <v>13</v>
      </c>
      <c r="C74" s="11" t="s">
        <v>0</v>
      </c>
      <c r="D74" s="17" t="s">
        <v>58</v>
      </c>
      <c r="E74" s="17" t="s">
        <v>58</v>
      </c>
      <c r="F74" s="17" t="s">
        <v>58</v>
      </c>
      <c r="G74" s="17" t="s">
        <v>58</v>
      </c>
      <c r="H74" s="17" t="s">
        <v>58</v>
      </c>
      <c r="I74" s="17" t="s">
        <v>58</v>
      </c>
      <c r="J74" s="17" t="s">
        <v>58</v>
      </c>
      <c r="K74" s="17" t="s">
        <v>58</v>
      </c>
      <c r="L74" s="17" t="s">
        <v>58</v>
      </c>
      <c r="M74" s="17" t="s">
        <v>58</v>
      </c>
      <c r="N74" s="17" t="s">
        <v>58</v>
      </c>
      <c r="O74" s="17" t="s">
        <v>58</v>
      </c>
      <c r="P74" s="17" t="s">
        <v>58</v>
      </c>
      <c r="Q74" s="17" t="s">
        <v>58</v>
      </c>
      <c r="R74" s="17" t="s">
        <v>58</v>
      </c>
      <c r="S74" s="17" t="s">
        <v>58</v>
      </c>
      <c r="T74" s="17" t="s">
        <v>58</v>
      </c>
      <c r="U74" s="17" t="s">
        <v>58</v>
      </c>
      <c r="V74" s="39">
        <f t="shared" ref="V74:AF74" si="27">V12/U12-1</f>
        <v>1.4807395721814443E-2</v>
      </c>
      <c r="W74" s="39">
        <f t="shared" si="27"/>
        <v>3.6826024579490246E-2</v>
      </c>
      <c r="X74" s="39">
        <f t="shared" si="27"/>
        <v>3.5518036494527561E-2</v>
      </c>
      <c r="Y74" s="39">
        <f t="shared" si="27"/>
        <v>3.4299775805706201E-2</v>
      </c>
      <c r="Z74" s="39">
        <f t="shared" si="27"/>
        <v>3.3162315808294096E-2</v>
      </c>
      <c r="AA74" s="39">
        <f t="shared" si="27"/>
        <v>0.11076088727785294</v>
      </c>
      <c r="AB74" s="39">
        <f t="shared" si="27"/>
        <v>3.1084094291750297E-2</v>
      </c>
      <c r="AC74" s="39">
        <f t="shared" si="27"/>
        <v>4.8801866819786266E-2</v>
      </c>
      <c r="AD74" s="39">
        <f t="shared" si="27"/>
        <v>2.6888632139989488E-2</v>
      </c>
      <c r="AE74" s="39">
        <f t="shared" si="27"/>
        <v>3.0965371261757912E-2</v>
      </c>
      <c r="AF74" s="39">
        <f t="shared" si="27"/>
        <v>3.3772551049448429E-2</v>
      </c>
    </row>
    <row r="75" spans="1:32" ht="15" customHeight="1" x14ac:dyDescent="0.25">
      <c r="C75" s="11" t="s">
        <v>1</v>
      </c>
      <c r="D75" s="17" t="s">
        <v>58</v>
      </c>
      <c r="E75" s="17" t="s">
        <v>58</v>
      </c>
      <c r="F75" s="17" t="s">
        <v>58</v>
      </c>
      <c r="G75" s="17" t="s">
        <v>58</v>
      </c>
      <c r="H75" s="17" t="s">
        <v>58</v>
      </c>
      <c r="I75" s="17" t="s">
        <v>58</v>
      </c>
      <c r="J75" s="17" t="s">
        <v>58</v>
      </c>
      <c r="K75" s="17" t="s">
        <v>58</v>
      </c>
      <c r="L75" s="17" t="s">
        <v>58</v>
      </c>
      <c r="M75" s="17" t="s">
        <v>58</v>
      </c>
      <c r="N75" s="17" t="s">
        <v>58</v>
      </c>
      <c r="O75" s="17" t="s">
        <v>58</v>
      </c>
      <c r="P75" s="17" t="s">
        <v>58</v>
      </c>
      <c r="Q75" s="17" t="s">
        <v>58</v>
      </c>
      <c r="R75" s="17" t="s">
        <v>58</v>
      </c>
      <c r="S75" s="17" t="s">
        <v>58</v>
      </c>
      <c r="T75" s="17" t="s">
        <v>58</v>
      </c>
      <c r="U75" s="17" t="s">
        <v>58</v>
      </c>
      <c r="V75" s="39">
        <f t="shared" ref="V75:AF75" si="28">V13/U13-1</f>
        <v>-0.12294159141872529</v>
      </c>
      <c r="W75" s="39">
        <f t="shared" si="28"/>
        <v>3.52511927953989E-2</v>
      </c>
      <c r="X75" s="39">
        <f t="shared" si="28"/>
        <v>3.4050859386322685E-2</v>
      </c>
      <c r="Y75" s="39">
        <f t="shared" si="28"/>
        <v>3.2929578924719705E-2</v>
      </c>
      <c r="Z75" s="39">
        <f t="shared" si="28"/>
        <v>3.1879790836260469E-2</v>
      </c>
      <c r="AA75" s="39">
        <f t="shared" si="28"/>
        <v>0.1124418301393888</v>
      </c>
      <c r="AB75" s="39">
        <f t="shared" si="28"/>
        <v>4.2772673270654815E-2</v>
      </c>
      <c r="AC75" s="39">
        <f t="shared" si="28"/>
        <v>3.7387257023418163E-2</v>
      </c>
      <c r="AD75" s="39">
        <f t="shared" si="28"/>
        <v>3.507561705124651E-2</v>
      </c>
      <c r="AE75" s="39">
        <f t="shared" si="28"/>
        <v>4.3709687087096993E-2</v>
      </c>
      <c r="AF75" s="39">
        <f t="shared" si="28"/>
        <v>5.4537388372739803E-2</v>
      </c>
    </row>
    <row r="76" spans="1:32" ht="15" customHeight="1" x14ac:dyDescent="0.25">
      <c r="C76" s="11" t="s">
        <v>2</v>
      </c>
      <c r="D76" s="17" t="s">
        <v>58</v>
      </c>
      <c r="E76" s="17" t="s">
        <v>58</v>
      </c>
      <c r="F76" s="17" t="s">
        <v>58</v>
      </c>
      <c r="G76" s="17" t="s">
        <v>58</v>
      </c>
      <c r="H76" s="17" t="s">
        <v>58</v>
      </c>
      <c r="I76" s="17" t="s">
        <v>58</v>
      </c>
      <c r="J76" s="17" t="s">
        <v>58</v>
      </c>
      <c r="K76" s="17" t="s">
        <v>58</v>
      </c>
      <c r="L76" s="17" t="s">
        <v>58</v>
      </c>
      <c r="M76" s="17" t="s">
        <v>58</v>
      </c>
      <c r="N76" s="17" t="s">
        <v>58</v>
      </c>
      <c r="O76" s="17" t="s">
        <v>58</v>
      </c>
      <c r="P76" s="17" t="s">
        <v>58</v>
      </c>
      <c r="Q76" s="17" t="s">
        <v>58</v>
      </c>
      <c r="R76" s="17" t="s">
        <v>58</v>
      </c>
      <c r="S76" s="17" t="s">
        <v>58</v>
      </c>
      <c r="T76" s="17" t="s">
        <v>58</v>
      </c>
      <c r="U76" s="17" t="s">
        <v>58</v>
      </c>
      <c r="V76" s="39">
        <f t="shared" ref="V76:AF76" si="29">V14/U14-1</f>
        <v>4.0367433853634838E-2</v>
      </c>
      <c r="W76" s="39">
        <f t="shared" si="29"/>
        <v>3.7472465868011895E-2</v>
      </c>
      <c r="X76" s="39">
        <f t="shared" si="29"/>
        <v>3.6118997950115306E-2</v>
      </c>
      <c r="Y76" s="39">
        <f t="shared" si="29"/>
        <v>3.485989352726282E-2</v>
      </c>
      <c r="Z76" s="39">
        <f t="shared" si="29"/>
        <v>3.3685616521919703E-2</v>
      </c>
      <c r="AA76" s="39">
        <f t="shared" si="29"/>
        <v>0.16902565083403354</v>
      </c>
      <c r="AB76" s="39">
        <f t="shared" si="29"/>
        <v>5.6271599324292376E-2</v>
      </c>
      <c r="AC76" s="39">
        <f t="shared" si="29"/>
        <v>4.3070977674558808E-2</v>
      </c>
      <c r="AD76" s="39">
        <f t="shared" si="29"/>
        <v>3.5168412722771158E-2</v>
      </c>
      <c r="AE76" s="39">
        <f t="shared" si="29"/>
        <v>3.3701604836791743E-2</v>
      </c>
      <c r="AF76" s="39">
        <f t="shared" si="29"/>
        <v>3.4208806373563938E-2</v>
      </c>
    </row>
    <row r="77" spans="1:32" ht="15" customHeight="1" x14ac:dyDescent="0.25">
      <c r="A77" s="10" t="s">
        <v>50</v>
      </c>
      <c r="B77" s="2" t="s">
        <v>11</v>
      </c>
      <c r="C77" s="11" t="s">
        <v>0</v>
      </c>
      <c r="D77" s="17" t="s">
        <v>58</v>
      </c>
      <c r="E77" s="17" t="s">
        <v>58</v>
      </c>
      <c r="F77" s="17" t="s">
        <v>58</v>
      </c>
      <c r="G77" s="17" t="s">
        <v>58</v>
      </c>
      <c r="H77" s="17" t="s">
        <v>58</v>
      </c>
      <c r="I77" s="17" t="s">
        <v>58</v>
      </c>
      <c r="J77" s="17" t="s">
        <v>58</v>
      </c>
      <c r="K77" s="17" t="s">
        <v>58</v>
      </c>
      <c r="L77" s="17" t="s">
        <v>58</v>
      </c>
      <c r="M77" s="17" t="s">
        <v>58</v>
      </c>
      <c r="N77" s="17" t="s">
        <v>58</v>
      </c>
      <c r="O77" s="17" t="s">
        <v>58</v>
      </c>
      <c r="P77" s="17" t="s">
        <v>58</v>
      </c>
      <c r="Q77" s="17" t="s">
        <v>58</v>
      </c>
      <c r="R77" s="17" t="s">
        <v>58</v>
      </c>
      <c r="S77" s="17" t="s">
        <v>58</v>
      </c>
      <c r="T77" s="17" t="s">
        <v>58</v>
      </c>
      <c r="U77" s="17" t="s">
        <v>58</v>
      </c>
      <c r="V77" s="39">
        <f t="shared" ref="V77:AF77" si="30">V15/U15-1</f>
        <v>-1.2274800563225607E-3</v>
      </c>
      <c r="W77" s="39">
        <f t="shared" si="30"/>
        <v>3.4357852336749595E-2</v>
      </c>
      <c r="X77" s="39">
        <f t="shared" si="30"/>
        <v>3.3216601255651845E-2</v>
      </c>
      <c r="Y77" s="39">
        <f t="shared" si="30"/>
        <v>3.2148729719690294E-2</v>
      </c>
      <c r="Z77" s="39">
        <f t="shared" si="30"/>
        <v>3.1147380986867423E-2</v>
      </c>
      <c r="AA77" s="39">
        <f t="shared" si="30"/>
        <v>9.66593149468149E-2</v>
      </c>
      <c r="AB77" s="39">
        <f t="shared" si="30"/>
        <v>2.9821126055764591E-2</v>
      </c>
      <c r="AC77" s="39">
        <f t="shared" si="30"/>
        <v>3.9586337043440167E-2</v>
      </c>
      <c r="AD77" s="39">
        <f t="shared" si="30"/>
        <v>2.0634998891218448E-2</v>
      </c>
      <c r="AE77" s="39">
        <f t="shared" si="30"/>
        <v>3.2631380710011371E-2</v>
      </c>
      <c r="AF77" s="39">
        <f t="shared" si="30"/>
        <v>3.3444070114480473E-2</v>
      </c>
    </row>
    <row r="78" spans="1:32" ht="15" customHeight="1" x14ac:dyDescent="0.25">
      <c r="C78" s="11" t="s">
        <v>1</v>
      </c>
      <c r="D78" s="17" t="s">
        <v>58</v>
      </c>
      <c r="E78" s="17" t="s">
        <v>58</v>
      </c>
      <c r="F78" s="17" t="s">
        <v>58</v>
      </c>
      <c r="G78" s="17" t="s">
        <v>58</v>
      </c>
      <c r="H78" s="17" t="s">
        <v>58</v>
      </c>
      <c r="I78" s="17" t="s">
        <v>58</v>
      </c>
      <c r="J78" s="17" t="s">
        <v>58</v>
      </c>
      <c r="K78" s="17" t="s">
        <v>58</v>
      </c>
      <c r="L78" s="17" t="s">
        <v>58</v>
      </c>
      <c r="M78" s="17" t="s">
        <v>58</v>
      </c>
      <c r="N78" s="17" t="s">
        <v>58</v>
      </c>
      <c r="O78" s="17" t="s">
        <v>58</v>
      </c>
      <c r="P78" s="17" t="s">
        <v>58</v>
      </c>
      <c r="Q78" s="17" t="s">
        <v>58</v>
      </c>
      <c r="R78" s="17" t="s">
        <v>58</v>
      </c>
      <c r="S78" s="17" t="s">
        <v>58</v>
      </c>
      <c r="T78" s="17" t="s">
        <v>58</v>
      </c>
      <c r="U78" s="17" t="s">
        <v>58</v>
      </c>
      <c r="V78" s="39">
        <f t="shared" ref="V78:AF78" si="31">V16/U16-1</f>
        <v>-0.11696986368911244</v>
      </c>
      <c r="W78" s="39">
        <f t="shared" si="31"/>
        <v>3.6092959529943069E-2</v>
      </c>
      <c r="X78" s="39">
        <f t="shared" si="31"/>
        <v>3.4835638248442269E-2</v>
      </c>
      <c r="Y78" s="39">
        <f t="shared" si="31"/>
        <v>3.3662967297332536E-2</v>
      </c>
      <c r="Z78" s="39">
        <f t="shared" si="31"/>
        <v>3.2566676336795997E-2</v>
      </c>
      <c r="AA78" s="39">
        <f t="shared" si="31"/>
        <v>9.8329438655990531E-2</v>
      </c>
      <c r="AB78" s="39">
        <f t="shared" si="31"/>
        <v>4.7559290042712199E-2</v>
      </c>
      <c r="AC78" s="39">
        <f t="shared" si="31"/>
        <v>4.996391413304857E-2</v>
      </c>
      <c r="AD78" s="39">
        <f t="shared" si="31"/>
        <v>3.7826287592621188E-2</v>
      </c>
      <c r="AE78" s="39">
        <f t="shared" si="31"/>
        <v>4.1872856009710802E-2</v>
      </c>
      <c r="AF78" s="39">
        <f t="shared" si="31"/>
        <v>5.4174744525881557E-2</v>
      </c>
    </row>
    <row r="79" spans="1:32" ht="15" customHeight="1" x14ac:dyDescent="0.25">
      <c r="C79" s="11" t="s">
        <v>2</v>
      </c>
      <c r="D79" s="17" t="s">
        <v>58</v>
      </c>
      <c r="E79" s="17" t="s">
        <v>58</v>
      </c>
      <c r="F79" s="17" t="s">
        <v>58</v>
      </c>
      <c r="G79" s="17" t="s">
        <v>58</v>
      </c>
      <c r="H79" s="17" t="s">
        <v>58</v>
      </c>
      <c r="I79" s="17" t="s">
        <v>58</v>
      </c>
      <c r="J79" s="17" t="s">
        <v>58</v>
      </c>
      <c r="K79" s="17" t="s">
        <v>58</v>
      </c>
      <c r="L79" s="17" t="s">
        <v>58</v>
      </c>
      <c r="M79" s="17" t="s">
        <v>58</v>
      </c>
      <c r="N79" s="17" t="s">
        <v>58</v>
      </c>
      <c r="O79" s="17" t="s">
        <v>58</v>
      </c>
      <c r="P79" s="17" t="s">
        <v>58</v>
      </c>
      <c r="Q79" s="17" t="s">
        <v>58</v>
      </c>
      <c r="R79" s="17" t="s">
        <v>58</v>
      </c>
      <c r="S79" s="17" t="s">
        <v>58</v>
      </c>
      <c r="T79" s="17" t="s">
        <v>58</v>
      </c>
      <c r="U79" s="17" t="s">
        <v>58</v>
      </c>
      <c r="V79" s="39">
        <f t="shared" ref="V79:AF79" si="32">V17/U17-1</f>
        <v>6.9413671465349047E-2</v>
      </c>
      <c r="W79" s="39">
        <f t="shared" si="32"/>
        <v>3.4820582821711632E-2</v>
      </c>
      <c r="X79" s="39">
        <f t="shared" si="32"/>
        <v>3.364890822599631E-2</v>
      </c>
      <c r="Y79" s="39">
        <f t="shared" si="32"/>
        <v>3.2553517890053341E-2</v>
      </c>
      <c r="Z79" s="39">
        <f t="shared" si="32"/>
        <v>3.152719672737847E-2</v>
      </c>
      <c r="AA79" s="39">
        <f t="shared" si="32"/>
        <v>0.16629246997499725</v>
      </c>
      <c r="AB79" s="39">
        <f t="shared" si="32"/>
        <v>5.1534799070358517E-2</v>
      </c>
      <c r="AC79" s="39">
        <f t="shared" si="32"/>
        <v>3.9657051131335885E-2</v>
      </c>
      <c r="AD79" s="39">
        <f t="shared" si="32"/>
        <v>3.2348294645827558E-2</v>
      </c>
      <c r="AE79" s="39">
        <f t="shared" si="32"/>
        <v>2.8590297324370795E-2</v>
      </c>
      <c r="AF79" s="39">
        <f t="shared" si="32"/>
        <v>2.879156401752625E-2</v>
      </c>
    </row>
    <row r="80" spans="1:32" ht="15" customHeight="1" x14ac:dyDescent="0.25">
      <c r="A80" s="10" t="s">
        <v>50</v>
      </c>
      <c r="B80" s="2" t="s">
        <v>13</v>
      </c>
      <c r="C80" s="11" t="s">
        <v>0</v>
      </c>
      <c r="D80" s="17" t="s">
        <v>58</v>
      </c>
      <c r="E80" s="17" t="s">
        <v>58</v>
      </c>
      <c r="F80" s="17" t="s">
        <v>58</v>
      </c>
      <c r="G80" s="17" t="s">
        <v>58</v>
      </c>
      <c r="H80" s="17" t="s">
        <v>58</v>
      </c>
      <c r="I80" s="17" t="s">
        <v>58</v>
      </c>
      <c r="J80" s="17" t="s">
        <v>58</v>
      </c>
      <c r="K80" s="17" t="s">
        <v>58</v>
      </c>
      <c r="L80" s="17" t="s">
        <v>58</v>
      </c>
      <c r="M80" s="17" t="s">
        <v>58</v>
      </c>
      <c r="N80" s="17" t="s">
        <v>58</v>
      </c>
      <c r="O80" s="17" t="s">
        <v>58</v>
      </c>
      <c r="P80" s="17" t="s">
        <v>58</v>
      </c>
      <c r="Q80" s="17" t="s">
        <v>58</v>
      </c>
      <c r="R80" s="17" t="s">
        <v>58</v>
      </c>
      <c r="S80" s="17" t="s">
        <v>58</v>
      </c>
      <c r="T80" s="17" t="s">
        <v>58</v>
      </c>
      <c r="U80" s="17" t="s">
        <v>58</v>
      </c>
      <c r="V80" s="39">
        <f t="shared" ref="V80:AF80" si="33">V18/U18-1</f>
        <v>-8.7981959532498211E-3</v>
      </c>
      <c r="W80" s="39">
        <f t="shared" si="33"/>
        <v>3.5181020698613841E-2</v>
      </c>
      <c r="X80" s="39">
        <f t="shared" si="33"/>
        <v>3.3985380329766723E-2</v>
      </c>
      <c r="Y80" s="39">
        <f t="shared" si="33"/>
        <v>3.2868337382998547E-2</v>
      </c>
      <c r="Z80" s="39">
        <f t="shared" si="33"/>
        <v>3.1822388385247757E-2</v>
      </c>
      <c r="AA80" s="39">
        <f t="shared" si="33"/>
        <v>0.10027878276713631</v>
      </c>
      <c r="AB80" s="39">
        <f t="shared" si="33"/>
        <v>3.012221688007144E-2</v>
      </c>
      <c r="AC80" s="39">
        <f t="shared" si="33"/>
        <v>4.0441423382544972E-2</v>
      </c>
      <c r="AD80" s="39">
        <f t="shared" si="33"/>
        <v>2.2187203854321602E-2</v>
      </c>
      <c r="AE80" s="39">
        <f t="shared" si="33"/>
        <v>3.1157502131744286E-2</v>
      </c>
      <c r="AF80" s="39">
        <f t="shared" si="33"/>
        <v>3.5079706884911799E-2</v>
      </c>
    </row>
    <row r="81" spans="3:32" ht="15" customHeight="1" x14ac:dyDescent="0.25">
      <c r="C81" s="11" t="s">
        <v>1</v>
      </c>
      <c r="D81" s="17" t="s">
        <v>58</v>
      </c>
      <c r="E81" s="17" t="s">
        <v>58</v>
      </c>
      <c r="F81" s="17" t="s">
        <v>58</v>
      </c>
      <c r="G81" s="17" t="s">
        <v>58</v>
      </c>
      <c r="H81" s="17" t="s">
        <v>58</v>
      </c>
      <c r="I81" s="17" t="s">
        <v>58</v>
      </c>
      <c r="J81" s="17" t="s">
        <v>58</v>
      </c>
      <c r="K81" s="17" t="s">
        <v>58</v>
      </c>
      <c r="L81" s="17" t="s">
        <v>58</v>
      </c>
      <c r="M81" s="17" t="s">
        <v>58</v>
      </c>
      <c r="N81" s="17" t="s">
        <v>58</v>
      </c>
      <c r="O81" s="17" t="s">
        <v>58</v>
      </c>
      <c r="P81" s="17" t="s">
        <v>58</v>
      </c>
      <c r="Q81" s="17" t="s">
        <v>58</v>
      </c>
      <c r="R81" s="17" t="s">
        <v>58</v>
      </c>
      <c r="S81" s="17" t="s">
        <v>58</v>
      </c>
      <c r="T81" s="17" t="s">
        <v>58</v>
      </c>
      <c r="U81" s="17" t="s">
        <v>58</v>
      </c>
      <c r="V81" s="39">
        <f t="shared" ref="V81:AF81" si="34">V19/U19-1</f>
        <v>-0.13066617521600821</v>
      </c>
      <c r="W81" s="39">
        <f t="shared" si="34"/>
        <v>3.4880561496818618E-2</v>
      </c>
      <c r="X81" s="39">
        <f t="shared" si="34"/>
        <v>3.3704915131826718E-2</v>
      </c>
      <c r="Y81" s="39">
        <f t="shared" si="34"/>
        <v>3.2605934864427422E-2</v>
      </c>
      <c r="Z81" s="39">
        <f t="shared" si="34"/>
        <v>3.1576358186145681E-2</v>
      </c>
      <c r="AA81" s="39">
        <f t="shared" si="34"/>
        <v>0.10416963986174377</v>
      </c>
      <c r="AB81" s="39">
        <f t="shared" si="34"/>
        <v>4.2281003257143679E-2</v>
      </c>
      <c r="AC81" s="39">
        <f t="shared" si="34"/>
        <v>4.3400757336296225E-2</v>
      </c>
      <c r="AD81" s="39">
        <f t="shared" si="34"/>
        <v>3.8712312280178907E-2</v>
      </c>
      <c r="AE81" s="39">
        <f t="shared" si="34"/>
        <v>4.515507303030919E-2</v>
      </c>
      <c r="AF81" s="39">
        <f t="shared" si="34"/>
        <v>5.5837637775689952E-2</v>
      </c>
    </row>
    <row r="82" spans="3:32" ht="15" customHeight="1" x14ac:dyDescent="0.25">
      <c r="C82" s="11" t="s">
        <v>2</v>
      </c>
      <c r="D82" s="17" t="s">
        <v>58</v>
      </c>
      <c r="E82" s="17" t="s">
        <v>58</v>
      </c>
      <c r="F82" s="17" t="s">
        <v>58</v>
      </c>
      <c r="G82" s="17" t="s">
        <v>58</v>
      </c>
      <c r="H82" s="17" t="s">
        <v>58</v>
      </c>
      <c r="I82" s="17" t="s">
        <v>58</v>
      </c>
      <c r="J82" s="17" t="s">
        <v>58</v>
      </c>
      <c r="K82" s="17" t="s">
        <v>58</v>
      </c>
      <c r="L82" s="17" t="s">
        <v>58</v>
      </c>
      <c r="M82" s="17" t="s">
        <v>58</v>
      </c>
      <c r="N82" s="17" t="s">
        <v>58</v>
      </c>
      <c r="O82" s="17" t="s">
        <v>58</v>
      </c>
      <c r="P82" s="17" t="s">
        <v>58</v>
      </c>
      <c r="Q82" s="17" t="s">
        <v>58</v>
      </c>
      <c r="R82" s="17" t="s">
        <v>58</v>
      </c>
      <c r="S82" s="17" t="s">
        <v>58</v>
      </c>
      <c r="T82" s="17" t="s">
        <v>58</v>
      </c>
      <c r="U82" s="17" t="s">
        <v>58</v>
      </c>
      <c r="V82" s="39">
        <f t="shared" ref="V82:AF82" si="35">V20/U20-1</f>
        <v>-2.0774207330095051E-2</v>
      </c>
      <c r="W82" s="39">
        <f t="shared" si="35"/>
        <v>3.4910712931074839E-2</v>
      </c>
      <c r="X82" s="39">
        <f t="shared" si="35"/>
        <v>3.3733067495456348E-2</v>
      </c>
      <c r="Y82" s="39">
        <f t="shared" si="35"/>
        <v>3.2632280572369998E-2</v>
      </c>
      <c r="Z82" s="39">
        <f t="shared" si="35"/>
        <v>3.1601065729119027E-2</v>
      </c>
      <c r="AA82" s="39">
        <f t="shared" si="35"/>
        <v>0.12726312068535717</v>
      </c>
      <c r="AB82" s="39">
        <f t="shared" si="35"/>
        <v>4.7771783185338812E-2</v>
      </c>
      <c r="AC82" s="39">
        <f t="shared" si="35"/>
        <v>3.9435274381073082E-2</v>
      </c>
      <c r="AD82" s="39">
        <f t="shared" si="35"/>
        <v>3.403026719425406E-2</v>
      </c>
      <c r="AE82" s="39">
        <f t="shared" si="35"/>
        <v>3.7102189085251425E-2</v>
      </c>
      <c r="AF82" s="39">
        <f t="shared" si="35"/>
        <v>3.8765254033880536E-2</v>
      </c>
    </row>
  </sheetData>
  <mergeCells count="2">
    <mergeCell ref="A44:C44"/>
    <mergeCell ref="A1:C1"/>
  </mergeCells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4D4D6674-55B4-4B2F-829E-4DDBD3A4BF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Income!V65:AF65</xm:f>
              <xm:sqref>AG65</xm:sqref>
            </x14:sparkline>
            <x14:sparkline>
              <xm:f>Income!V66:AF66</xm:f>
              <xm:sqref>AG66</xm:sqref>
            </x14:sparkline>
            <x14:sparkline>
              <xm:f>Income!V67:AF67</xm:f>
              <xm:sqref>AG67</xm:sqref>
            </x14:sparkline>
            <x14:sparkline>
              <xm:f>Income!V68:AF68</xm:f>
              <xm:sqref>AG68</xm:sqref>
            </x14:sparkline>
            <x14:sparkline>
              <xm:f>Income!V69:AF69</xm:f>
              <xm:sqref>AG69</xm:sqref>
            </x14:sparkline>
            <x14:sparkline>
              <xm:f>Income!V70:AF70</xm:f>
              <xm:sqref>AG70</xm:sqref>
            </x14:sparkline>
            <x14:sparkline>
              <xm:f>Income!V71:AF71</xm:f>
              <xm:sqref>AG71</xm:sqref>
            </x14:sparkline>
            <x14:sparkline>
              <xm:f>Income!V72:AF72</xm:f>
              <xm:sqref>AG72</xm:sqref>
            </x14:sparkline>
            <x14:sparkline>
              <xm:f>Income!V73:AF73</xm:f>
              <xm:sqref>AG73</xm:sqref>
            </x14:sparkline>
            <x14:sparkline>
              <xm:f>Income!V74:AF74</xm:f>
              <xm:sqref>AG74</xm:sqref>
            </x14:sparkline>
            <x14:sparkline>
              <xm:f>Income!V75:AF75</xm:f>
              <xm:sqref>AG75</xm:sqref>
            </x14:sparkline>
            <x14:sparkline>
              <xm:f>Income!V76:AF76</xm:f>
              <xm:sqref>AG76</xm:sqref>
            </x14:sparkline>
            <x14:sparkline>
              <xm:f>Income!V77:AF77</xm:f>
              <xm:sqref>AG77</xm:sqref>
            </x14:sparkline>
            <x14:sparkline>
              <xm:f>Income!V78:AF78</xm:f>
              <xm:sqref>AG78</xm:sqref>
            </x14:sparkline>
            <x14:sparkline>
              <xm:f>Income!V79:AF79</xm:f>
              <xm:sqref>AG79</xm:sqref>
            </x14:sparkline>
            <x14:sparkline>
              <xm:f>Income!V80:AF80</xm:f>
              <xm:sqref>AG80</xm:sqref>
            </x14:sparkline>
            <x14:sparkline>
              <xm:f>Income!V81:AF81</xm:f>
              <xm:sqref>AG81</xm:sqref>
            </x14:sparkline>
            <x14:sparkline>
              <xm:f>Income!V82:AF82</xm:f>
              <xm:sqref>AG82</xm:sqref>
            </x14:sparkline>
          </x14:sparklines>
        </x14:sparklineGroup>
        <x14:sparklineGroup displayEmptyCellsAs="gap" xr2:uid="{188137CF-5BD7-4829-ACA1-EC26A35C977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Income!D3:AF3</xm:f>
              <xm:sqref>AG3</xm:sqref>
            </x14:sparkline>
            <x14:sparkline>
              <xm:f>Income!D4:AF4</xm:f>
              <xm:sqref>AG4</xm:sqref>
            </x14:sparkline>
            <x14:sparkline>
              <xm:f>Income!D5:AF5</xm:f>
              <xm:sqref>AG5</xm:sqref>
            </x14:sparkline>
            <x14:sparkline>
              <xm:f>Income!D6:AF6</xm:f>
              <xm:sqref>AG6</xm:sqref>
            </x14:sparkline>
            <x14:sparkline>
              <xm:f>Income!D7:AF7</xm:f>
              <xm:sqref>AG7</xm:sqref>
            </x14:sparkline>
            <x14:sparkline>
              <xm:f>Income!D8:AF8</xm:f>
              <xm:sqref>AG8</xm:sqref>
            </x14:sparkline>
            <x14:sparkline>
              <xm:f>Income!D9:AF9</xm:f>
              <xm:sqref>AG9</xm:sqref>
            </x14:sparkline>
            <x14:sparkline>
              <xm:f>Income!D10:AF10</xm:f>
              <xm:sqref>AG10</xm:sqref>
            </x14:sparkline>
            <x14:sparkline>
              <xm:f>Income!D11:AF11</xm:f>
              <xm:sqref>AG11</xm:sqref>
            </x14:sparkline>
            <x14:sparkline>
              <xm:f>Income!D12:AF12</xm:f>
              <xm:sqref>AG12</xm:sqref>
            </x14:sparkline>
            <x14:sparkline>
              <xm:f>Income!D13:AF13</xm:f>
              <xm:sqref>AG13</xm:sqref>
            </x14:sparkline>
            <x14:sparkline>
              <xm:f>Income!D14:AF14</xm:f>
              <xm:sqref>AG14</xm:sqref>
            </x14:sparkline>
            <x14:sparkline>
              <xm:f>Income!D15:AF15</xm:f>
              <xm:sqref>AG15</xm:sqref>
            </x14:sparkline>
            <x14:sparkline>
              <xm:f>Income!D16:AF16</xm:f>
              <xm:sqref>AG16</xm:sqref>
            </x14:sparkline>
            <x14:sparkline>
              <xm:f>Income!D17:AF17</xm:f>
              <xm:sqref>AG17</xm:sqref>
            </x14:sparkline>
            <x14:sparkline>
              <xm:f>Income!D18:AF18</xm:f>
              <xm:sqref>AG18</xm:sqref>
            </x14:sparkline>
            <x14:sparkline>
              <xm:f>Income!D19:AF19</xm:f>
              <xm:sqref>AG19</xm:sqref>
            </x14:sparkline>
            <x14:sparkline>
              <xm:f>Income!D20:AF20</xm:f>
              <xm:sqref>AG20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4881E-4B02-4900-B34E-55B0E209E21C}">
  <sheetPr>
    <tabColor rgb="FFFFFF00"/>
  </sheetPr>
  <dimension ref="B2"/>
  <sheetViews>
    <sheetView workbookViewId="0">
      <selection activeCell="AD1" sqref="AD1"/>
    </sheetView>
  </sheetViews>
  <sheetFormatPr defaultRowHeight="15" x14ac:dyDescent="0.25"/>
  <cols>
    <col min="1" max="16384" width="9.140625" style="12"/>
  </cols>
  <sheetData>
    <row r="2" spans="2:2" ht="63.75" x14ac:dyDescent="1">
      <c r="B2" s="15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3030C-1F8A-40DD-92AA-ECC9D8F6BA1C}">
  <dimension ref="A1:F57"/>
  <sheetViews>
    <sheetView zoomScale="115" zoomScaleNormal="115" workbookViewId="0">
      <selection activeCell="T1" sqref="T1"/>
    </sheetView>
  </sheetViews>
  <sheetFormatPr defaultRowHeight="15" customHeight="1" x14ac:dyDescent="0.2"/>
  <cols>
    <col min="1" max="1" width="28.7109375" style="54" customWidth="1"/>
    <col min="2" max="3" width="19.140625" style="67" customWidth="1"/>
    <col min="4" max="4" width="15.28515625" style="66" customWidth="1"/>
    <col min="5" max="5" width="16.5703125" style="66" customWidth="1"/>
    <col min="6" max="16384" width="9.140625" style="66"/>
  </cols>
  <sheetData>
    <row r="1" spans="1:5" s="78" customFormat="1" ht="15" customHeight="1" x14ac:dyDescent="0.2">
      <c r="A1" s="76" t="s">
        <v>82</v>
      </c>
      <c r="B1" s="77"/>
      <c r="C1" s="77"/>
    </row>
    <row r="2" spans="1:5" s="54" customFormat="1" ht="15" customHeight="1" x14ac:dyDescent="0.2">
      <c r="B2" s="67" t="s">
        <v>83</v>
      </c>
      <c r="C2" s="67" t="s">
        <v>84</v>
      </c>
      <c r="D2" s="63"/>
      <c r="E2" s="63"/>
    </row>
    <row r="3" spans="1:5" s="54" customFormat="1" ht="15" customHeight="1" x14ac:dyDescent="0.2">
      <c r="B3" s="67" t="s">
        <v>85</v>
      </c>
      <c r="C3" s="67" t="s">
        <v>86</v>
      </c>
      <c r="D3" s="55"/>
      <c r="E3" s="55"/>
    </row>
    <row r="4" spans="1:5" s="54" customFormat="1" ht="15" customHeight="1" x14ac:dyDescent="0.2">
      <c r="A4" s="54" t="s">
        <v>61</v>
      </c>
      <c r="B4" s="64">
        <v>0</v>
      </c>
      <c r="C4" s="64">
        <v>0</v>
      </c>
      <c r="D4" s="55"/>
      <c r="E4" s="55"/>
    </row>
    <row r="5" spans="1:5" ht="15" customHeight="1" x14ac:dyDescent="0.2">
      <c r="A5" s="54" t="s">
        <v>62</v>
      </c>
      <c r="B5" s="64">
        <v>-0.1144356966</v>
      </c>
      <c r="C5" s="64">
        <v>-0.1189754895</v>
      </c>
      <c r="D5" s="56"/>
      <c r="E5" s="56"/>
    </row>
    <row r="6" spans="1:5" ht="15" customHeight="1" x14ac:dyDescent="0.2">
      <c r="A6" s="54" t="s">
        <v>63</v>
      </c>
      <c r="B6" s="64">
        <v>0</v>
      </c>
      <c r="C6" s="64">
        <v>0</v>
      </c>
      <c r="D6" s="58"/>
      <c r="E6" s="58"/>
    </row>
    <row r="7" spans="1:5" ht="15" customHeight="1" x14ac:dyDescent="0.2">
      <c r="A7" s="54" t="s">
        <v>64</v>
      </c>
      <c r="B7" s="64">
        <v>4.1488544500000002E-2</v>
      </c>
      <c r="C7" s="64">
        <v>4.1486224699999998E-2</v>
      </c>
      <c r="D7" s="56"/>
      <c r="E7" s="56"/>
    </row>
    <row r="8" spans="1:5" ht="15" customHeight="1" x14ac:dyDescent="0.2">
      <c r="A8" s="54" t="s">
        <v>65</v>
      </c>
      <c r="B8" s="64">
        <v>-3.5114E-6</v>
      </c>
      <c r="C8" s="64">
        <v>-3.5064999999999998E-6</v>
      </c>
      <c r="D8" s="58"/>
      <c r="E8" s="58"/>
    </row>
    <row r="9" spans="1:5" ht="15" customHeight="1" x14ac:dyDescent="0.2">
      <c r="A9" s="54" t="s">
        <v>67</v>
      </c>
      <c r="B9" s="64">
        <v>0</v>
      </c>
      <c r="C9" s="64" t="s">
        <v>58</v>
      </c>
      <c r="D9" s="57"/>
      <c r="E9" s="57"/>
    </row>
    <row r="10" spans="1:5" ht="15" customHeight="1" x14ac:dyDescent="0.2">
      <c r="A10" s="54" t="s">
        <v>68</v>
      </c>
      <c r="B10" s="64">
        <v>0.3505128213</v>
      </c>
      <c r="C10" s="64" t="s">
        <v>58</v>
      </c>
      <c r="D10" s="56"/>
      <c r="E10" s="56"/>
    </row>
    <row r="11" spans="1:5" ht="15" customHeight="1" x14ac:dyDescent="0.2">
      <c r="A11" s="54" t="s">
        <v>69</v>
      </c>
      <c r="B11" s="64">
        <v>-3.8171900000000002E-2</v>
      </c>
      <c r="C11" s="64" t="s">
        <v>58</v>
      </c>
      <c r="D11" s="58"/>
      <c r="E11" s="56"/>
    </row>
    <row r="12" spans="1:5" ht="15" customHeight="1" x14ac:dyDescent="0.2">
      <c r="A12" s="54" t="s">
        <v>70</v>
      </c>
      <c r="B12" s="64">
        <v>-0.29658646910000003</v>
      </c>
      <c r="C12" s="64" t="s">
        <v>58</v>
      </c>
      <c r="D12" s="58"/>
      <c r="E12" s="56"/>
    </row>
    <row r="13" spans="1:5" ht="15" customHeight="1" x14ac:dyDescent="0.2">
      <c r="A13" s="54" t="s">
        <v>71</v>
      </c>
      <c r="B13" s="64">
        <v>-0.16417324480000001</v>
      </c>
      <c r="C13" s="64" t="s">
        <v>58</v>
      </c>
      <c r="D13" s="58"/>
      <c r="E13" s="56"/>
    </row>
    <row r="14" spans="1:5" ht="15" customHeight="1" x14ac:dyDescent="0.2">
      <c r="A14" s="54" t="s">
        <v>67</v>
      </c>
      <c r="B14" s="64" t="s">
        <v>58</v>
      </c>
      <c r="C14" s="64">
        <v>0</v>
      </c>
      <c r="D14" s="58"/>
      <c r="E14" s="56"/>
    </row>
    <row r="15" spans="1:5" ht="15" customHeight="1" x14ac:dyDescent="0.2">
      <c r="A15" s="54" t="s">
        <v>68</v>
      </c>
      <c r="B15" s="64" t="s">
        <v>58</v>
      </c>
      <c r="C15" s="64">
        <v>0.3505488236</v>
      </c>
      <c r="D15" s="56"/>
      <c r="E15" s="56"/>
    </row>
    <row r="16" spans="1:5" ht="15" customHeight="1" x14ac:dyDescent="0.2">
      <c r="A16" s="54" t="s">
        <v>72</v>
      </c>
      <c r="B16" s="64" t="s">
        <v>58</v>
      </c>
      <c r="C16" s="64">
        <v>-3.8201322500000003E-2</v>
      </c>
      <c r="D16" s="56"/>
      <c r="E16" s="58"/>
    </row>
    <row r="17" spans="1:5" ht="15" customHeight="1" x14ac:dyDescent="0.2">
      <c r="A17" s="54" t="s">
        <v>87</v>
      </c>
      <c r="B17" s="64">
        <v>0</v>
      </c>
      <c r="C17" s="64">
        <v>0</v>
      </c>
      <c r="D17" s="56"/>
      <c r="E17" s="58"/>
    </row>
    <row r="18" spans="1:5" ht="15" customHeight="1" x14ac:dyDescent="0.2">
      <c r="A18" s="54" t="s">
        <v>89</v>
      </c>
      <c r="B18" s="65">
        <v>0.1006352177</v>
      </c>
      <c r="C18" s="65">
        <v>0.1116400093</v>
      </c>
      <c r="D18" s="69"/>
      <c r="E18" s="69"/>
    </row>
    <row r="19" spans="1:5" ht="15" customHeight="1" x14ac:dyDescent="0.2">
      <c r="A19" s="54" t="s">
        <v>88</v>
      </c>
      <c r="B19" s="65">
        <v>0.38843124130000001</v>
      </c>
      <c r="C19" s="65">
        <v>0.37224075899999998</v>
      </c>
    </row>
    <row r="21" spans="1:5" ht="15" customHeight="1" x14ac:dyDescent="0.2">
      <c r="A21" s="61" t="s">
        <v>73</v>
      </c>
      <c r="B21" s="68">
        <v>7.3331014329000004</v>
      </c>
      <c r="C21" s="68">
        <v>7.3187472181000004</v>
      </c>
      <c r="D21" s="62"/>
    </row>
    <row r="22" spans="1:5" ht="15" customHeight="1" x14ac:dyDescent="0.2">
      <c r="A22" s="61"/>
      <c r="B22" s="68"/>
      <c r="C22" s="68"/>
      <c r="D22" s="62"/>
    </row>
    <row r="23" spans="1:5" s="78" customFormat="1" ht="15" customHeight="1" x14ac:dyDescent="0.2">
      <c r="A23" s="79" t="s">
        <v>90</v>
      </c>
      <c r="B23" s="80"/>
      <c r="C23" s="80"/>
      <c r="D23" s="81"/>
    </row>
    <row r="24" spans="1:5" ht="15" customHeight="1" x14ac:dyDescent="0.2">
      <c r="A24" s="70" t="s">
        <v>20</v>
      </c>
      <c r="B24" s="70" t="s">
        <v>21</v>
      </c>
      <c r="C24" s="70" t="s">
        <v>23</v>
      </c>
      <c r="D24" s="71"/>
      <c r="E24" s="71"/>
    </row>
    <row r="25" spans="1:5" ht="15" customHeight="1" x14ac:dyDescent="0.2">
      <c r="A25" s="60" t="s">
        <v>15</v>
      </c>
      <c r="B25" s="61" t="s">
        <v>11</v>
      </c>
      <c r="C25" s="60" t="s">
        <v>14</v>
      </c>
      <c r="D25" s="61" t="s">
        <v>0</v>
      </c>
      <c r="E25" s="62">
        <v>11962.992</v>
      </c>
    </row>
    <row r="26" spans="1:5" ht="15" customHeight="1" x14ac:dyDescent="0.2">
      <c r="A26" s="61"/>
      <c r="B26" s="61"/>
      <c r="C26" s="61"/>
      <c r="D26" s="61" t="s">
        <v>1</v>
      </c>
      <c r="E26" s="62">
        <v>7732.3159999999998</v>
      </c>
    </row>
    <row r="27" spans="1:5" ht="15" customHeight="1" x14ac:dyDescent="0.2">
      <c r="A27" s="61"/>
      <c r="B27" s="61"/>
      <c r="C27" s="61"/>
      <c r="D27" s="61" t="s">
        <v>2</v>
      </c>
      <c r="E27" s="62">
        <v>7746.8410000000003</v>
      </c>
    </row>
    <row r="28" spans="1:5" ht="15" customHeight="1" x14ac:dyDescent="0.2">
      <c r="A28" s="60" t="s">
        <v>15</v>
      </c>
      <c r="B28" s="61" t="s">
        <v>13</v>
      </c>
      <c r="C28" s="61" t="s">
        <v>14</v>
      </c>
      <c r="D28" s="61" t="s">
        <v>0</v>
      </c>
      <c r="E28" s="62">
        <v>8400.9969999999994</v>
      </c>
    </row>
    <row r="29" spans="1:5" ht="15" customHeight="1" x14ac:dyDescent="0.2">
      <c r="A29" s="61"/>
      <c r="B29" s="61"/>
      <c r="C29" s="61"/>
      <c r="D29" s="61" t="s">
        <v>1</v>
      </c>
      <c r="E29" s="62">
        <v>5626.2129999999997</v>
      </c>
    </row>
    <row r="30" spans="1:5" ht="15" customHeight="1" x14ac:dyDescent="0.2">
      <c r="A30" s="61"/>
      <c r="B30" s="61"/>
      <c r="C30" s="61"/>
      <c r="D30" s="61" t="s">
        <v>2</v>
      </c>
      <c r="E30" s="62">
        <v>6118.5969999999998</v>
      </c>
    </row>
    <row r="31" spans="1:5" ht="15" customHeight="1" x14ac:dyDescent="0.2">
      <c r="A31" s="61" t="s">
        <v>16</v>
      </c>
      <c r="B31" s="61" t="s">
        <v>11</v>
      </c>
      <c r="C31" s="61" t="s">
        <v>14</v>
      </c>
      <c r="D31" s="61" t="s">
        <v>0</v>
      </c>
      <c r="E31" s="62">
        <v>12357.316000000001</v>
      </c>
    </row>
    <row r="32" spans="1:5" ht="15" customHeight="1" x14ac:dyDescent="0.2">
      <c r="A32" s="61"/>
      <c r="B32" s="61"/>
      <c r="C32" s="61"/>
      <c r="D32" s="61" t="s">
        <v>1</v>
      </c>
      <c r="E32" s="62">
        <v>5057.7219999999998</v>
      </c>
    </row>
    <row r="33" spans="1:5" ht="15" customHeight="1" x14ac:dyDescent="0.2">
      <c r="A33" s="61"/>
      <c r="B33" s="61"/>
      <c r="C33" s="61"/>
      <c r="D33" s="61" t="s">
        <v>2</v>
      </c>
      <c r="E33" s="62">
        <v>9433.9060000000009</v>
      </c>
    </row>
    <row r="34" spans="1:5" ht="15" customHeight="1" x14ac:dyDescent="0.2">
      <c r="A34" s="61" t="s">
        <v>16</v>
      </c>
      <c r="B34" s="61" t="s">
        <v>13</v>
      </c>
      <c r="C34" s="61" t="s">
        <v>14</v>
      </c>
      <c r="D34" s="61" t="s">
        <v>0</v>
      </c>
      <c r="E34" s="62">
        <v>13631.43</v>
      </c>
    </row>
    <row r="35" spans="1:5" ht="15" customHeight="1" x14ac:dyDescent="0.2">
      <c r="A35" s="61"/>
      <c r="B35" s="61"/>
      <c r="C35" s="61"/>
      <c r="D35" s="61" t="s">
        <v>1</v>
      </c>
      <c r="E35" s="62">
        <v>5664.375</v>
      </c>
    </row>
    <row r="36" spans="1:5" ht="15" customHeight="1" x14ac:dyDescent="0.2">
      <c r="A36" s="61"/>
      <c r="B36" s="61"/>
      <c r="C36" s="61"/>
      <c r="D36" s="61" t="s">
        <v>2</v>
      </c>
      <c r="E36" s="62">
        <v>9299.8590000000004</v>
      </c>
    </row>
    <row r="37" spans="1:5" ht="15" customHeight="1" x14ac:dyDescent="0.2">
      <c r="A37" s="61" t="s">
        <v>17</v>
      </c>
      <c r="B37" s="61" t="s">
        <v>11</v>
      </c>
      <c r="C37" s="61" t="s">
        <v>14</v>
      </c>
      <c r="D37" s="61" t="s">
        <v>0</v>
      </c>
      <c r="E37" s="62">
        <v>13166.786</v>
      </c>
    </row>
    <row r="38" spans="1:5" ht="15" customHeight="1" x14ac:dyDescent="0.2">
      <c r="A38" s="61"/>
      <c r="B38" s="61"/>
      <c r="C38" s="61"/>
      <c r="D38" s="61" t="s">
        <v>1</v>
      </c>
      <c r="E38" s="62">
        <v>5015.384</v>
      </c>
    </row>
    <row r="39" spans="1:5" ht="15" customHeight="1" x14ac:dyDescent="0.2">
      <c r="A39" s="61"/>
      <c r="B39" s="61"/>
      <c r="C39" s="61"/>
      <c r="D39" s="61" t="s">
        <v>2</v>
      </c>
      <c r="E39" s="62">
        <v>7559.58</v>
      </c>
    </row>
    <row r="40" spans="1:5" ht="15" customHeight="1" x14ac:dyDescent="0.2">
      <c r="A40" s="61" t="s">
        <v>17</v>
      </c>
      <c r="B40" s="61" t="s">
        <v>13</v>
      </c>
      <c r="C40" s="61" t="s">
        <v>14</v>
      </c>
      <c r="D40" s="61" t="s">
        <v>0</v>
      </c>
      <c r="E40" s="62">
        <v>10804.436</v>
      </c>
    </row>
    <row r="41" spans="1:5" ht="15" customHeight="1" x14ac:dyDescent="0.2">
      <c r="A41" s="61"/>
      <c r="B41" s="61"/>
      <c r="C41" s="61"/>
      <c r="D41" s="61" t="s">
        <v>1</v>
      </c>
      <c r="E41" s="62">
        <v>5343.9960000000001</v>
      </c>
    </row>
    <row r="42" spans="1:5" ht="15" customHeight="1" x14ac:dyDescent="0.2">
      <c r="A42" s="61"/>
      <c r="B42" s="61"/>
      <c r="C42" s="61"/>
      <c r="D42" s="61" t="s">
        <v>2</v>
      </c>
      <c r="E42" s="62">
        <v>7512.0680000000002</v>
      </c>
    </row>
    <row r="43" spans="1:5" ht="15" customHeight="1" x14ac:dyDescent="0.2">
      <c r="A43" s="61" t="s">
        <v>18</v>
      </c>
      <c r="B43" s="61" t="s">
        <v>11</v>
      </c>
      <c r="C43" s="61" t="s">
        <v>14</v>
      </c>
      <c r="D43" s="61" t="s">
        <v>0</v>
      </c>
      <c r="E43" s="62">
        <v>13350.155000000001</v>
      </c>
    </row>
    <row r="44" spans="1:5" ht="15" customHeight="1" x14ac:dyDescent="0.2">
      <c r="A44" s="61"/>
      <c r="B44" s="61"/>
      <c r="C44" s="61"/>
      <c r="D44" s="61" t="s">
        <v>1</v>
      </c>
      <c r="E44" s="62">
        <v>8295.4230000000007</v>
      </c>
    </row>
    <row r="45" spans="1:5" ht="15" customHeight="1" x14ac:dyDescent="0.2">
      <c r="A45" s="61"/>
      <c r="B45" s="61"/>
      <c r="C45" s="61"/>
      <c r="D45" s="61" t="s">
        <v>2</v>
      </c>
      <c r="E45" s="62">
        <v>7553.1419999999998</v>
      </c>
    </row>
    <row r="46" spans="1:5" ht="15" customHeight="1" x14ac:dyDescent="0.2">
      <c r="A46" s="61" t="s">
        <v>18</v>
      </c>
      <c r="B46" s="61" t="s">
        <v>13</v>
      </c>
      <c r="C46" s="61" t="s">
        <v>14</v>
      </c>
      <c r="D46" s="61" t="s">
        <v>0</v>
      </c>
      <c r="E46" s="62">
        <v>10525.300999999999</v>
      </c>
    </row>
    <row r="47" spans="1:5" ht="15" customHeight="1" x14ac:dyDescent="0.2">
      <c r="A47" s="61"/>
      <c r="B47" s="61"/>
      <c r="C47" s="61"/>
      <c r="D47" s="61" t="s">
        <v>1</v>
      </c>
      <c r="E47" s="62">
        <v>6306.1170000000002</v>
      </c>
    </row>
    <row r="48" spans="1:5" ht="15" customHeight="1" x14ac:dyDescent="0.2">
      <c r="A48" s="61"/>
      <c r="B48" s="61"/>
      <c r="C48" s="61"/>
      <c r="D48" s="61" t="s">
        <v>2</v>
      </c>
      <c r="E48" s="62">
        <v>6602.5370000000003</v>
      </c>
    </row>
    <row r="49" spans="1:6" ht="15" customHeight="1" x14ac:dyDescent="0.2">
      <c r="A49" s="61" t="s">
        <v>19</v>
      </c>
      <c r="B49" s="61" t="s">
        <v>11</v>
      </c>
      <c r="C49" s="61" t="s">
        <v>14</v>
      </c>
      <c r="D49" s="61" t="s">
        <v>0</v>
      </c>
      <c r="E49" s="62">
        <v>10109.228999999999</v>
      </c>
    </row>
    <row r="50" spans="1:6" ht="15" customHeight="1" x14ac:dyDescent="0.2">
      <c r="A50" s="61"/>
      <c r="B50" s="61"/>
      <c r="C50" s="61"/>
      <c r="D50" s="61" t="s">
        <v>1</v>
      </c>
      <c r="E50" s="62">
        <v>7267.6909999999998</v>
      </c>
    </row>
    <row r="51" spans="1:6" ht="15" customHeight="1" x14ac:dyDescent="0.2">
      <c r="A51" s="61"/>
      <c r="B51" s="61"/>
      <c r="C51" s="61"/>
      <c r="D51" s="61" t="s">
        <v>2</v>
      </c>
      <c r="E51" s="62">
        <v>6844.66</v>
      </c>
    </row>
    <row r="52" spans="1:6" ht="15" customHeight="1" x14ac:dyDescent="0.2">
      <c r="A52" s="61" t="s">
        <v>19</v>
      </c>
      <c r="B52" s="61" t="s">
        <v>13</v>
      </c>
      <c r="C52" s="61" t="s">
        <v>14</v>
      </c>
      <c r="D52" s="61" t="s">
        <v>0</v>
      </c>
      <c r="E52" s="62">
        <v>7017.7349999999997</v>
      </c>
    </row>
    <row r="53" spans="1:6" ht="15" customHeight="1" x14ac:dyDescent="0.2">
      <c r="A53" s="61"/>
      <c r="B53" s="61"/>
      <c r="C53" s="61"/>
      <c r="D53" s="61" t="s">
        <v>1</v>
      </c>
      <c r="E53" s="62">
        <v>4190.0569999999998</v>
      </c>
    </row>
    <row r="54" spans="1:6" ht="15" customHeight="1" x14ac:dyDescent="0.2">
      <c r="A54" s="61"/>
      <c r="B54" s="61"/>
      <c r="C54" s="61"/>
      <c r="D54" s="61" t="s">
        <v>2</v>
      </c>
      <c r="E54" s="62">
        <v>4264.1369999999997</v>
      </c>
    </row>
    <row r="55" spans="1:6" ht="15" customHeight="1" x14ac:dyDescent="0.2">
      <c r="A55" s="66"/>
      <c r="B55" s="66"/>
      <c r="C55" s="66"/>
    </row>
    <row r="56" spans="1:6" ht="15" customHeight="1" x14ac:dyDescent="0.2">
      <c r="F56" s="61"/>
    </row>
    <row r="57" spans="1:6" ht="15" customHeight="1" x14ac:dyDescent="0.2">
      <c r="F57" s="61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C21DD-36EF-4C80-B2C5-686C174A0459}">
  <dimension ref="A1:O32"/>
  <sheetViews>
    <sheetView workbookViewId="0">
      <selection activeCell="O1" sqref="O1"/>
    </sheetView>
  </sheetViews>
  <sheetFormatPr defaultRowHeight="15" customHeight="1" x14ac:dyDescent="0.25"/>
  <cols>
    <col min="1" max="2" width="9.140625" style="72"/>
    <col min="3" max="3" width="20.85546875" style="72" customWidth="1"/>
    <col min="4" max="4" width="14.140625" style="72" customWidth="1"/>
    <col min="5" max="15" width="19.42578125" style="72" customWidth="1"/>
    <col min="16" max="16384" width="9.140625" style="72"/>
  </cols>
  <sheetData>
    <row r="1" spans="1:15" s="84" customFormat="1" ht="15" customHeight="1" x14ac:dyDescent="0.25">
      <c r="A1" s="82" t="s">
        <v>92</v>
      </c>
      <c r="B1" s="83"/>
      <c r="C1" s="83"/>
      <c r="D1" s="83"/>
    </row>
    <row r="2" spans="1:15" ht="15" customHeight="1" x14ac:dyDescent="0.25">
      <c r="A2" s="53" t="s">
        <v>66</v>
      </c>
      <c r="B2" s="53" t="s">
        <v>21</v>
      </c>
      <c r="C2" s="53" t="s">
        <v>22</v>
      </c>
      <c r="D2" s="53"/>
      <c r="E2" s="75">
        <v>2026</v>
      </c>
      <c r="F2" s="75">
        <v>2027</v>
      </c>
      <c r="G2" s="75">
        <v>2028</v>
      </c>
      <c r="H2" s="75">
        <v>2029</v>
      </c>
      <c r="I2" s="75">
        <v>2030</v>
      </c>
      <c r="J2" s="75">
        <v>2031</v>
      </c>
      <c r="K2" s="75">
        <v>2032</v>
      </c>
      <c r="L2" s="75">
        <v>2033</v>
      </c>
      <c r="M2" s="75">
        <v>2034</v>
      </c>
      <c r="N2" s="75">
        <v>2035</v>
      </c>
      <c r="O2" s="75">
        <v>2036</v>
      </c>
    </row>
    <row r="3" spans="1:15" ht="15" customHeight="1" x14ac:dyDescent="0.25">
      <c r="A3" s="73" t="s">
        <v>15</v>
      </c>
      <c r="B3" s="59" t="s">
        <v>11</v>
      </c>
      <c r="C3" s="73" t="s">
        <v>14</v>
      </c>
      <c r="D3" s="59" t="s">
        <v>0</v>
      </c>
      <c r="E3" s="74">
        <f>Disability!W$65*EXP('Input data'!$B$4+'Input data'!$B$7+(1+Income!V$65)*'Input data'!$B$8*'Input data'!$E$25+'Input data'!$B$9+'Input data'!$B$17+'Input data'!$B$21)</f>
        <v>38559349.807052933</v>
      </c>
      <c r="F3" s="74">
        <f>Disability!X$65*EXP('Input data'!$B$4+'Input data'!$B$7+(1+Income!W$65)*'Input data'!$B$8*'Input data'!$E$25+'Input data'!$B$9+'Input data'!$B$17+'Input data'!$B$21)</f>
        <v>38448856.426825546</v>
      </c>
      <c r="G3" s="74">
        <f>Disability!Y$65*EXP('Input data'!$B$4+'Input data'!$B$7+(1+Income!X$65)*'Input data'!$B$8*'Input data'!$E$25+'Input data'!$B$9+'Input data'!$B$17+'Input data'!$B$21)</f>
        <v>38319134.205307223</v>
      </c>
      <c r="H3" s="74">
        <f>Disability!Z$65*EXP('Input data'!$B$4+'Input data'!$B$7+(1+Income!Y$65)*'Input data'!$B$8*'Input data'!$E$25+'Input data'!$B$9+'Input data'!$B$17+'Input data'!$B$21)</f>
        <v>38189278.134307504</v>
      </c>
      <c r="I3" s="74">
        <f>Disability!AA$65*EXP('Input data'!$B$4+'Input data'!$B$7+(1+Income!Z$65)*'Input data'!$B$8*'Input data'!$E$25+'Input data'!$B$9+'Input data'!$B$17+'Input data'!$B$21)</f>
        <v>38059300.823179364</v>
      </c>
      <c r="J3" s="74">
        <f>Disability!AB$65*EXP('Input data'!$B$4+'Input data'!$B$7+(1+Income!AA$65)*'Input data'!$B$8*'Input data'!$E$25+'Input data'!$B$9+'Input data'!$B$17+'Input data'!$B$21)</f>
        <v>37856247.273595177</v>
      </c>
      <c r="K3" s="74">
        <f>Disability!AC$65*EXP('Input data'!$B$4+'Input data'!$B$7+(1+Income!AB$65)*'Input data'!$B$8*'Input data'!$E$25+'Input data'!$B$9+'Input data'!$B$17+'Input data'!$B$21)</f>
        <v>37795852.201673582</v>
      </c>
      <c r="L3" s="74">
        <f>Disability!AD$65*EXP('Input data'!$B$4+'Input data'!$B$7+(1+Income!AC$65)*'Input data'!$B$8*'Input data'!$E$25+'Input data'!$B$9+'Input data'!$B$17+'Input data'!$B$21)</f>
        <v>37637922.605205424</v>
      </c>
      <c r="M3" s="74">
        <f>Disability!AE$65*EXP('Input data'!$B$4+'Input data'!$B$7+(1+Income!AD$65)*'Input data'!$B$8*'Input data'!$E$25+'Input data'!$B$9+'Input data'!$B$17+'Input data'!$B$21)</f>
        <v>37543025.158094004</v>
      </c>
      <c r="N3" s="74">
        <f>Disability!AF$65*EXP('Input data'!$B$4+'Input data'!$B$7+(1+Income!AE$65)*'Input data'!$B$8*'Input data'!$E$25+'Input data'!$B$9+'Input data'!$B$17+'Input data'!$B$21)</f>
        <v>37408872.772990741</v>
      </c>
      <c r="O3" s="74">
        <f>Disability!AG$65*EXP('Input data'!$B$4+'Input data'!$B$7+(1+Income!AF$65)*'Input data'!$B$8*'Input data'!$E$25+'Input data'!$B$9+'Input data'!$B$17+'Input data'!$B$21)</f>
        <v>37276277.813055903</v>
      </c>
    </row>
    <row r="4" spans="1:15" ht="15" customHeight="1" x14ac:dyDescent="0.25">
      <c r="A4" s="73" t="s">
        <v>15</v>
      </c>
      <c r="B4" s="59" t="s">
        <v>11</v>
      </c>
      <c r="C4" s="73" t="s">
        <v>14</v>
      </c>
      <c r="D4" s="59" t="s">
        <v>1</v>
      </c>
      <c r="E4" s="74">
        <f>Disability!W$66*EXP('Input data'!$B$4+'Input data'!$B$7+(1+Income!V$66)*'Input data'!$B$8*'Input data'!$E$26+'Input data'!$B$9+'Input data'!$B$18+'Input data'!$B$21)</f>
        <v>68790058.510896742</v>
      </c>
      <c r="F4" s="74">
        <f>Disability!X$66*EXP('Input data'!$B$4+'Input data'!$B$7+(1+Income!W$66)*'Input data'!$B$8*'Input data'!$E$26+'Input data'!$B$9+'Input data'!$B$18+'Input data'!$B$21)</f>
        <v>68009785.849154443</v>
      </c>
      <c r="G4" s="74">
        <f>Disability!Y$66*EXP('Input data'!$B$4+'Input data'!$B$7+(1+Income!X$66)*'Input data'!$B$8*'Input data'!$E$26+'Input data'!$B$9+'Input data'!$B$18+'Input data'!$B$21)</f>
        <v>67528361.965313777</v>
      </c>
      <c r="H4" s="74">
        <f>Disability!Z$66*EXP('Input data'!$B$4+'Input data'!$B$7+(1+Income!Y$66)*'Input data'!$B$8*'Input data'!$E$26+'Input data'!$B$9+'Input data'!$B$18+'Input data'!$B$21)</f>
        <v>67046713.058265083</v>
      </c>
      <c r="I4" s="74">
        <f>Disability!AA$66*EXP('Input data'!$B$4+'Input data'!$B$7+(1+Income!Z$66)*'Input data'!$B$8*'Input data'!$E$26+'Input data'!$B$9+'Input data'!$B$18+'Input data'!$B$21)</f>
        <v>66564862.479060613</v>
      </c>
      <c r="J4" s="74">
        <f>Disability!AB$66*EXP('Input data'!$B$4+'Input data'!$B$7+(1+Income!AA$66)*'Input data'!$B$8*'Input data'!$E$26+'Input data'!$B$9+'Input data'!$B$18+'Input data'!$B$21)</f>
        <v>65807051.072934195</v>
      </c>
      <c r="K4" s="74">
        <f>Disability!AC$66*EXP('Input data'!$B$4+'Input data'!$B$7+(1+Income!AB$66)*'Input data'!$B$8*'Input data'!$E$26+'Input data'!$B$9+'Input data'!$B$18+'Input data'!$B$21)</f>
        <v>65566746.190908052</v>
      </c>
      <c r="L4" s="74">
        <f>Disability!AD$66*EXP('Input data'!$B$4+'Input data'!$B$7+(1+Income!AC$66)*'Input data'!$B$8*'Input data'!$E$26+'Input data'!$B$9+'Input data'!$B$18+'Input data'!$B$21)</f>
        <v>65089161.938855559</v>
      </c>
      <c r="M4" s="74">
        <f>Disability!AE$66*EXP('Input data'!$B$4+'Input data'!$B$7+(1+Income!AD$66)*'Input data'!$B$8*'Input data'!$E$26+'Input data'!$B$9+'Input data'!$B$18+'Input data'!$B$21)</f>
        <v>64616399.326071896</v>
      </c>
      <c r="N4" s="74">
        <f>Disability!AF$66*EXP('Input data'!$B$4+'Input data'!$B$7+(1+Income!AE$66)*'Input data'!$B$8*'Input data'!$E$26+'Input data'!$B$9+'Input data'!$B$18+'Input data'!$B$21)</f>
        <v>64119921.311442807</v>
      </c>
      <c r="O4" s="74">
        <f>Disability!AG$66*EXP('Input data'!$B$4+'Input data'!$B$7+(1+Income!AF$66)*'Input data'!$B$8*'Input data'!$E$26+'Input data'!$B$9+'Input data'!$B$18+'Input data'!$B$21)</f>
        <v>63617828.2818918</v>
      </c>
    </row>
    <row r="5" spans="1:15" ht="15" customHeight="1" x14ac:dyDescent="0.25">
      <c r="A5" s="73" t="s">
        <v>15</v>
      </c>
      <c r="B5" s="59" t="s">
        <v>11</v>
      </c>
      <c r="C5" s="73" t="s">
        <v>14</v>
      </c>
      <c r="D5" s="59" t="s">
        <v>2</v>
      </c>
      <c r="E5" s="74">
        <f>Disability!W$67*EXP('Input data'!$B$4+'Input data'!$B$7+(1+Income!V$67)*'Input data'!$B$8*'Input data'!$E$27+'Input data'!$B$9+'Input data'!$B$19+'Input data'!$B$21)</f>
        <v>96638156.680462837</v>
      </c>
      <c r="F5" s="74">
        <f>Disability!X$67*EXP('Input data'!$B$4+'Input data'!$B$7+(1+Income!W$67)*'Input data'!$B$8*'Input data'!$E$27+'Input data'!$B$9+'Input data'!$B$19+'Input data'!$B$21)</f>
        <v>96853502.246248335</v>
      </c>
      <c r="G5" s="74">
        <f>Disability!Y$67*EXP('Input data'!$B$4+'Input data'!$B$7+(1+Income!X$67)*'Input data'!$B$8*'Input data'!$E$27+'Input data'!$B$9+'Input data'!$B$19+'Input data'!$B$21)</f>
        <v>97350063.52925615</v>
      </c>
      <c r="H5" s="74">
        <f>Disability!Z$67*EXP('Input data'!$B$4+'Input data'!$B$7+(1+Income!Y$67)*'Input data'!$B$8*'Input data'!$E$27+'Input data'!$B$9+'Input data'!$B$19+'Input data'!$B$21)</f>
        <v>97846323.845538571</v>
      </c>
      <c r="I5" s="74">
        <f>Disability!AA$67*EXP('Input data'!$B$4+'Input data'!$B$7+(1+Income!Z$67)*'Input data'!$B$8*'Input data'!$E$27+'Input data'!$B$9+'Input data'!$B$19+'Input data'!$B$21)</f>
        <v>98342316.769153789</v>
      </c>
      <c r="J5" s="74">
        <f>Disability!AB$67*EXP('Input data'!$B$4+'Input data'!$B$7+(1+Income!AA$67)*'Input data'!$B$8*'Input data'!$E$27+'Input data'!$B$9+'Input data'!$B$19+'Input data'!$B$21)</f>
        <v>98444560.10928224</v>
      </c>
      <c r="K5" s="74">
        <f>Disability!AC$67*EXP('Input data'!$B$4+'Input data'!$B$7+(1+Income!AB$67)*'Input data'!$B$8*'Input data'!$E$27+'Input data'!$B$9+'Input data'!$B$19+'Input data'!$B$21)</f>
        <v>99265865.655539364</v>
      </c>
      <c r="L5" s="74">
        <f>Disability!AD$67*EXP('Input data'!$B$4+'Input data'!$B$7+(1+Income!AC$67)*'Input data'!$B$8*'Input data'!$E$27+'Input data'!$B$9+'Input data'!$B$19+'Input data'!$B$21)</f>
        <v>99771050.54319486</v>
      </c>
      <c r="M5" s="74">
        <f>Disability!AE$67*EXP('Input data'!$B$4+'Input data'!$B$7+(1+Income!AD$67)*'Input data'!$B$8*'Input data'!$E$27+'Input data'!$B$9+'Input data'!$B$19+'Input data'!$B$21)</f>
        <v>100295656.32592031</v>
      </c>
      <c r="N5" s="74">
        <f>Disability!AF$67*EXP('Input data'!$B$4+'Input data'!$B$7+(1+Income!AE$67)*'Input data'!$B$8*'Input data'!$E$27+'Input data'!$B$9+'Input data'!$B$19+'Input data'!$B$21)</f>
        <v>100788806.75306691</v>
      </c>
      <c r="O5" s="74">
        <f>Disability!AG$67*EXP('Input data'!$B$4+'Input data'!$B$7+(1+Income!AF$67)*'Input data'!$B$8*'Input data'!$E$27+'Input data'!$B$9+'Input data'!$B$19+'Input data'!$B$21)</f>
        <v>101254836.18378256</v>
      </c>
    </row>
    <row r="6" spans="1:15" ht="15" customHeight="1" x14ac:dyDescent="0.25">
      <c r="A6" s="73" t="s">
        <v>15</v>
      </c>
      <c r="B6" s="59" t="s">
        <v>13</v>
      </c>
      <c r="C6" s="59" t="s">
        <v>14</v>
      </c>
      <c r="D6" s="59" t="s">
        <v>0</v>
      </c>
      <c r="E6" s="74">
        <f>Disability!W$68*EXP('Input data'!$B$5+'Input data'!$B$7+(1+Income!V$68)*'Input data'!$B$8*'Input data'!$E$28+'Input data'!$B$9+'Input data'!$B$17+'Input data'!$B$21)</f>
        <v>33092687.76251591</v>
      </c>
      <c r="F6" s="74">
        <f>Disability!X$68*EXP('Input data'!$B$5+'Input data'!$B$7+(1+Income!W$68)*'Input data'!$B$8*'Input data'!$E$28+'Input data'!$B$9+'Input data'!$B$17+'Input data'!$B$21)</f>
        <v>32961615.834186804</v>
      </c>
      <c r="G6" s="74">
        <f>Disability!Y$68*EXP('Input data'!$B$5+'Input data'!$B$7+(1+Income!X$68)*'Input data'!$B$8*'Input data'!$E$28+'Input data'!$B$9+'Input data'!$B$17+'Input data'!$B$21)</f>
        <v>32802371.20011121</v>
      </c>
      <c r="H6" s="74">
        <f>Disability!Z$68*EXP('Input data'!$B$5+'Input data'!$B$7+(1+Income!Y$68)*'Input data'!$B$8*'Input data'!$E$28+'Input data'!$B$9+'Input data'!$B$17+'Input data'!$B$21)</f>
        <v>32643037.173963148</v>
      </c>
      <c r="I6" s="74">
        <f>Disability!AA$68*EXP('Input data'!$B$5+'Input data'!$B$7+(1+Income!Z$68)*'Input data'!$B$8*'Input data'!$E$28+'Input data'!$B$9+'Input data'!$B$17+'Input data'!$B$21)</f>
        <v>32483622.362581048</v>
      </c>
      <c r="J6" s="74">
        <f>Disability!AB$68*EXP('Input data'!$B$5+'Input data'!$B$7+(1+Income!AA$68)*'Input data'!$B$8*'Input data'!$E$28+'Input data'!$B$9+'Input data'!$B$17+'Input data'!$B$21)</f>
        <v>32266928.523572538</v>
      </c>
      <c r="K6" s="74">
        <f>Disability!AC$68*EXP('Input data'!$B$5+'Input data'!$B$7+(1+Income!AB$68)*'Input data'!$B$8*'Input data'!$E$28+'Input data'!$B$9+'Input data'!$B$17+'Input data'!$B$21)</f>
        <v>32166729.374673691</v>
      </c>
      <c r="L6" s="74">
        <f>Disability!AD$68*EXP('Input data'!$B$5+'Input data'!$B$7+(1+Income!AC$68)*'Input data'!$B$8*'Input data'!$E$28+'Input data'!$B$9+'Input data'!$B$17+'Input data'!$B$21)</f>
        <v>31986012.446178142</v>
      </c>
      <c r="M6" s="74">
        <f>Disability!AE$68*EXP('Input data'!$B$5+'Input data'!$B$7+(1+Income!AD$68)*'Input data'!$B$8*'Input data'!$E$28+'Input data'!$B$9+'Input data'!$B$17+'Input data'!$B$21)</f>
        <v>31852235.301185619</v>
      </c>
      <c r="N6" s="74">
        <f>Disability!AF$68*EXP('Input data'!$B$5+'Input data'!$B$7+(1+Income!AE$68)*'Input data'!$B$8*'Input data'!$E$28+'Input data'!$B$9+'Input data'!$B$17+'Input data'!$B$21)</f>
        <v>31688999.43454954</v>
      </c>
      <c r="O6" s="74">
        <f>Disability!AG$68*EXP('Input data'!$B$5+'Input data'!$B$7+(1+Income!AF$68)*'Input data'!$B$8*'Input data'!$E$28+'Input data'!$B$9+'Input data'!$B$17+'Input data'!$B$21)</f>
        <v>31526965.285114046</v>
      </c>
    </row>
    <row r="7" spans="1:15" ht="15" customHeight="1" x14ac:dyDescent="0.25">
      <c r="A7" s="73" t="s">
        <v>15</v>
      </c>
      <c r="B7" s="59" t="s">
        <v>13</v>
      </c>
      <c r="C7" s="59" t="s">
        <v>14</v>
      </c>
      <c r="D7" s="59" t="s">
        <v>1</v>
      </c>
      <c r="E7" s="74">
        <f>Disability!W$69*EXP('Input data'!$B$5+'Input data'!$B$7+(1+Income!V$69)*'Input data'!$B$8*'Input data'!$E$29+'Input data'!$B$9+'Input data'!$B$18+'Input data'!$B$21)</f>
        <v>68031396.755265087</v>
      </c>
      <c r="F7" s="74">
        <f>Disability!X$69*EXP('Input data'!$B$5+'Input data'!$B$7+(1+Income!W$69)*'Input data'!$B$8*'Input data'!$E$29+'Input data'!$B$9+'Input data'!$B$18+'Input data'!$B$21)</f>
        <v>67194475.744058624</v>
      </c>
      <c r="G7" s="74">
        <f>Disability!Y$69*EXP('Input data'!$B$5+'Input data'!$B$7+(1+Income!X$69)*'Input data'!$B$8*'Input data'!$E$29+'Input data'!$B$9+'Input data'!$B$18+'Input data'!$B$21)</f>
        <v>66576897.635610193</v>
      </c>
      <c r="H7" s="74">
        <f>Disability!Z$69*EXP('Input data'!$B$5+'Input data'!$B$7+(1+Income!Y$69)*'Input data'!$B$8*'Input data'!$E$29+'Input data'!$B$9+'Input data'!$B$18+'Input data'!$B$21)</f>
        <v>65959159.829996228</v>
      </c>
      <c r="I7" s="74">
        <f>Disability!AA$69*EXP('Input data'!$B$5+'Input data'!$B$7+(1+Income!Z$69)*'Input data'!$B$8*'Input data'!$E$29+'Input data'!$B$9+'Input data'!$B$18+'Input data'!$B$21)</f>
        <v>65341278.585306779</v>
      </c>
      <c r="J7" s="74">
        <f>Disability!AB$69*EXP('Input data'!$B$5+'Input data'!$B$7+(1+Income!AA$69)*'Input data'!$B$8*'Input data'!$E$29+'Input data'!$B$9+'Input data'!$B$18+'Input data'!$B$21)</f>
        <v>64499292.801990896</v>
      </c>
      <c r="K7" s="74">
        <f>Disability!AC$69*EXP('Input data'!$B$5+'Input data'!$B$7+(1+Income!AB$69)*'Input data'!$B$8*'Input data'!$E$29+'Input data'!$B$9+'Input data'!$B$18+'Input data'!$B$21)</f>
        <v>64090228.515688628</v>
      </c>
      <c r="L7" s="74">
        <f>Disability!AD$69*EXP('Input data'!$B$5+'Input data'!$B$7+(1+Income!AC$69)*'Input data'!$B$8*'Input data'!$E$29+'Input data'!$B$9+'Input data'!$B$18+'Input data'!$B$21)</f>
        <v>63470351.296229199</v>
      </c>
      <c r="M7" s="74">
        <f>Disability!AE$69*EXP('Input data'!$B$5+'Input data'!$B$7+(1+Income!AD$69)*'Input data'!$B$8*'Input data'!$E$29+'Input data'!$B$9+'Input data'!$B$18+'Input data'!$B$21)</f>
        <v>62855455.30697313</v>
      </c>
      <c r="N7" s="74">
        <f>Disability!AF$69*EXP('Input data'!$B$5+'Input data'!$B$7+(1+Income!AE$69)*'Input data'!$B$8*'Input data'!$E$29+'Input data'!$B$9+'Input data'!$B$18+'Input data'!$B$21)</f>
        <v>62228178.371697307</v>
      </c>
      <c r="O7" s="74">
        <f>Disability!AG$69*EXP('Input data'!$B$5+'Input data'!$B$7+(1+Income!AF$69)*'Input data'!$B$8*'Input data'!$E$29+'Input data'!$B$9+'Input data'!$B$18+'Input data'!$B$21)</f>
        <v>61593655.247298636</v>
      </c>
    </row>
    <row r="8" spans="1:15" ht="15" customHeight="1" x14ac:dyDescent="0.25">
      <c r="A8" s="73" t="s">
        <v>15</v>
      </c>
      <c r="B8" s="59" t="s">
        <v>13</v>
      </c>
      <c r="C8" s="59" t="s">
        <v>14</v>
      </c>
      <c r="D8" s="59" t="s">
        <v>2</v>
      </c>
      <c r="E8" s="74">
        <f>Disability!W$70*EXP('Input data'!$B$5+'Input data'!$B$7+(1+Income!V$70)*'Input data'!$B$8*'Input data'!$E$30+'Input data'!$B$9+'Input data'!$B$19+'Input data'!$B$21)</f>
        <v>70249104.514218405</v>
      </c>
      <c r="F8" s="74">
        <f>Disability!X$70*EXP('Input data'!$B$5+'Input data'!$B$7+(1+Income!W$70)*'Input data'!$B$8*'Input data'!$E$30+'Input data'!$B$9+'Input data'!$B$19+'Input data'!$B$21)</f>
        <v>68332321.338951215</v>
      </c>
      <c r="G8" s="74">
        <f>Disability!Y$70*EXP('Input data'!$B$5+'Input data'!$B$7+(1+Income!X$70)*'Input data'!$B$8*'Input data'!$E$30+'Input data'!$B$9+'Input data'!$B$19+'Input data'!$B$21)</f>
        <v>66517464.296871044</v>
      </c>
      <c r="H8" s="74">
        <f>Disability!Z$70*EXP('Input data'!$B$5+'Input data'!$B$7+(1+Income!Y$70)*'Input data'!$B$8*'Input data'!$E$30+'Input data'!$B$9+'Input data'!$B$19+'Input data'!$B$21)</f>
        <v>64702327.668772593</v>
      </c>
      <c r="I8" s="74">
        <f>Disability!AA$70*EXP('Input data'!$B$5+'Input data'!$B$7+(1+Income!Z$70)*'Input data'!$B$8*'Input data'!$E$30+'Input data'!$B$9+'Input data'!$B$19+'Input data'!$B$21)</f>
        <v>62886941.441776678</v>
      </c>
      <c r="J8" s="74">
        <f>Disability!AB$70*EXP('Input data'!$B$5+'Input data'!$B$7+(1+Income!AA$70)*'Input data'!$B$8*'Input data'!$E$30+'Input data'!$B$9+'Input data'!$B$19+'Input data'!$B$21)</f>
        <v>60907853.686255507</v>
      </c>
      <c r="K8" s="74">
        <f>Disability!AC$70*EXP('Input data'!$B$5+'Input data'!$B$7+(1+Income!AB$70)*'Input data'!$B$8*'Input data'!$E$30+'Input data'!$B$9+'Input data'!$B$19+'Input data'!$B$21)</f>
        <v>59228313.296052836</v>
      </c>
      <c r="L8" s="74">
        <f>Disability!AD$70*EXP('Input data'!$B$5+'Input data'!$B$7+(1+Income!AC$70)*'Input data'!$B$8*'Input data'!$E$30+'Input data'!$B$9+'Input data'!$B$19+'Input data'!$B$21)</f>
        <v>57416745.130099468</v>
      </c>
      <c r="M8" s="74">
        <f>Disability!AE$70*EXP('Input data'!$B$5+'Input data'!$B$7+(1+Income!AD$70)*'Input data'!$B$8*'Input data'!$E$30+'Input data'!$B$9+'Input data'!$B$19+'Input data'!$B$21)</f>
        <v>55611885.899598554</v>
      </c>
      <c r="N8" s="74">
        <f>Disability!AF$70*EXP('Input data'!$B$5+'Input data'!$B$7+(1+Income!AE$70)*'Input data'!$B$8*'Input data'!$E$30+'Input data'!$B$9+'Input data'!$B$19+'Input data'!$B$21)</f>
        <v>53797485.134072982</v>
      </c>
      <c r="O8" s="74">
        <f>Disability!AG$70*EXP('Input data'!$B$5+'Input data'!$B$7+(1+Income!AF$70)*'Input data'!$B$8*'Input data'!$E$30+'Input data'!$B$9+'Input data'!$B$19+'Input data'!$B$21)</f>
        <v>51974015.226745151</v>
      </c>
    </row>
    <row r="9" spans="1:15" ht="15" customHeight="1" x14ac:dyDescent="0.25">
      <c r="A9" s="59" t="s">
        <v>16</v>
      </c>
      <c r="B9" s="59" t="s">
        <v>11</v>
      </c>
      <c r="C9" s="59" t="s">
        <v>14</v>
      </c>
      <c r="D9" s="59" t="s">
        <v>0</v>
      </c>
      <c r="E9" s="74">
        <f>Disability!W$71*EXP('Input data'!$B$4+'Input data'!$B$7+(1+Income!V$71)*'Input data'!$B$8*'Input data'!$E$31+'Input data'!$B$10+'Input data'!$B$17+'Input data'!$B$21)</f>
        <v>77772053.679927096</v>
      </c>
      <c r="F9" s="74">
        <f>Disability!X$71*EXP('Input data'!$B$4+'Input data'!$B$7+(1+Income!W$71)*'Input data'!$B$8*'Input data'!$E$31+'Input data'!$B$10+'Input data'!$B$17+'Input data'!$B$21)</f>
        <v>78255255.520767033</v>
      </c>
      <c r="G9" s="74">
        <f>Disability!Y$71*EXP('Input data'!$B$4+'Input data'!$B$7+(1+Income!X$71)*'Input data'!$B$8*'Input data'!$E$31+'Input data'!$B$10+'Input data'!$B$17+'Input data'!$B$21)</f>
        <v>78671807.303328276</v>
      </c>
      <c r="H9" s="74">
        <f>Disability!Z$71*EXP('Input data'!$B$4+'Input data'!$B$7+(1+Income!Y$71)*'Input data'!$B$8*'Input data'!$E$31+'Input data'!$B$10+'Input data'!$B$17+'Input data'!$B$21)</f>
        <v>79088117.839242116</v>
      </c>
      <c r="I9" s="74">
        <f>Disability!AA$71*EXP('Input data'!$B$4+'Input data'!$B$7+(1+Income!Z$71)*'Input data'!$B$8*'Input data'!$E$31+'Input data'!$B$10+'Input data'!$B$17+'Input data'!$B$21)</f>
        <v>79504210.567313805</v>
      </c>
      <c r="J9" s="74">
        <f>Disability!AB$71*EXP('Input data'!$B$4+'Input data'!$B$7+(1+Income!AA$71)*'Input data'!$B$8*'Input data'!$E$31+'Input data'!$B$10+'Input data'!$B$17+'Input data'!$B$21)</f>
        <v>79585605.653461993</v>
      </c>
      <c r="K9" s="74">
        <f>Disability!AC$71*EXP('Input data'!$B$4+'Input data'!$B$7+(1+Income!AB$71)*'Input data'!$B$8*'Input data'!$E$31+'Input data'!$B$10+'Input data'!$B$17+'Input data'!$B$21)</f>
        <v>80353807.54833208</v>
      </c>
      <c r="L9" s="74">
        <f>Disability!AD$71*EXP('Input data'!$B$4+'Input data'!$B$7+(1+Income!AC$71)*'Input data'!$B$8*'Input data'!$E$31+'Input data'!$B$10+'Input data'!$B$17+'Input data'!$B$21)</f>
        <v>80703854.740212291</v>
      </c>
      <c r="M9" s="74">
        <f>Disability!AE$71*EXP('Input data'!$B$4+'Input data'!$B$7+(1+Income!AD$71)*'Input data'!$B$8*'Input data'!$E$31+'Input data'!$B$10+'Input data'!$B$17+'Input data'!$B$21)</f>
        <v>81187926.888916463</v>
      </c>
      <c r="N9" s="74">
        <f>Disability!AF$71*EXP('Input data'!$B$4+'Input data'!$B$7+(1+Income!AE$71)*'Input data'!$B$8*'Input data'!$E$31+'Input data'!$B$10+'Input data'!$B$17+'Input data'!$B$21)</f>
        <v>81579399.943844438</v>
      </c>
      <c r="O9" s="74">
        <f>Disability!AG$71*EXP('Input data'!$B$4+'Input data'!$B$7+(1+Income!AF$71)*'Input data'!$B$8*'Input data'!$E$31+'Input data'!$B$10+'Input data'!$B$17+'Input data'!$B$21)</f>
        <v>81994046.497748777</v>
      </c>
    </row>
    <row r="10" spans="1:15" ht="15" customHeight="1" x14ac:dyDescent="0.25">
      <c r="A10" s="59" t="s">
        <v>16</v>
      </c>
      <c r="B10" s="59" t="s">
        <v>11</v>
      </c>
      <c r="C10" s="59" t="s">
        <v>14</v>
      </c>
      <c r="D10" s="59" t="s">
        <v>1</v>
      </c>
      <c r="E10" s="74">
        <f>Disability!W$72*EXP('Input data'!$B$4+'Input data'!$B$7+(1+Income!V$72)*'Input data'!$B$8*'Input data'!$E$32+'Input data'!$B$10+'Input data'!$B$18+'Input data'!$B$21)</f>
        <v>150653147.65163332</v>
      </c>
      <c r="F10" s="74">
        <f>Disability!X$72*EXP('Input data'!$B$4+'Input data'!$B$7+(1+Income!W$72)*'Input data'!$B$8*'Input data'!$E$32+'Input data'!$B$10+'Input data'!$B$18+'Input data'!$B$21)</f>
        <v>152185766.71799704</v>
      </c>
      <c r="G10" s="74">
        <f>Disability!Y$72*EXP('Input data'!$B$4+'Input data'!$B$7+(1+Income!X$72)*'Input data'!$B$8*'Input data'!$E$32+'Input data'!$B$10+'Input data'!$B$18+'Input data'!$B$21)</f>
        <v>154191410.65054706</v>
      </c>
      <c r="H10" s="74">
        <f>Disability!Z$72*EXP('Input data'!$B$4+'Input data'!$B$7+(1+Income!Y$72)*'Input data'!$B$8*'Input data'!$E$32+'Input data'!$B$10+'Input data'!$B$18+'Input data'!$B$21)</f>
        <v>156196909.35299373</v>
      </c>
      <c r="I10" s="74">
        <f>Disability!AA$72*EXP('Input data'!$B$4+'Input data'!$B$7+(1+Income!Z$72)*'Input data'!$B$8*'Input data'!$E$32+'Input data'!$B$10+'Input data'!$B$18+'Input data'!$B$21)</f>
        <v>158202277.00780803</v>
      </c>
      <c r="J10" s="74">
        <f>Disability!AB$72*EXP('Input data'!$B$4+'Input data'!$B$7+(1+Income!AA$72)*'Input data'!$B$8*'Input data'!$E$32+'Input data'!$B$10+'Input data'!$B$18+'Input data'!$B$21)</f>
        <v>159836765.66371533</v>
      </c>
      <c r="K10" s="74">
        <f>Disability!AC$72*EXP('Input data'!$B$4+'Input data'!$B$7+(1+Income!AB$72)*'Input data'!$B$8*'Input data'!$E$32+'Input data'!$B$10+'Input data'!$B$18+'Input data'!$B$21)</f>
        <v>162169899.21372554</v>
      </c>
      <c r="L10" s="74">
        <f>Disability!AD$72*EXP('Input data'!$B$4+'Input data'!$B$7+(1+Income!AC$72)*'Input data'!$B$8*'Input data'!$E$32+'Input data'!$B$10+'Input data'!$B$18+'Input data'!$B$21)</f>
        <v>164160151.66379961</v>
      </c>
      <c r="M10" s="74">
        <f>Disability!AE$72*EXP('Input data'!$B$4+'Input data'!$B$7+(1+Income!AD$72)*'Input data'!$B$8*'Input data'!$E$32+'Input data'!$B$10+'Input data'!$B$18+'Input data'!$B$21)</f>
        <v>166190600.32781467</v>
      </c>
      <c r="N10" s="74">
        <f>Disability!AF$72*EXP('Input data'!$B$4+'Input data'!$B$7+(1+Income!AE$72)*'Input data'!$B$8*'Input data'!$E$32+'Input data'!$B$10+'Input data'!$B$18+'Input data'!$B$21)</f>
        <v>168165821.45987821</v>
      </c>
      <c r="O10" s="74">
        <f>Disability!AG$72*EXP('Input data'!$B$4+'Input data'!$B$7+(1+Income!AF$72)*'Input data'!$B$8*'Input data'!$E$32+'Input data'!$B$10+'Input data'!$B$18+'Input data'!$B$21)</f>
        <v>170132520.16448143</v>
      </c>
    </row>
    <row r="11" spans="1:15" ht="15" customHeight="1" x14ac:dyDescent="0.25">
      <c r="A11" s="59" t="s">
        <v>16</v>
      </c>
      <c r="B11" s="59" t="s">
        <v>11</v>
      </c>
      <c r="C11" s="59" t="s">
        <v>14</v>
      </c>
      <c r="D11" s="59" t="s">
        <v>2</v>
      </c>
      <c r="E11" s="74">
        <f>Disability!W$73*EXP('Input data'!$B$4+'Input data'!$B$7+(1+Income!V$73)*'Input data'!$B$8*'Input data'!$E$33+'Input data'!$B$10+'Input data'!$B$19+'Input data'!$B$21)</f>
        <v>222701900.45144922</v>
      </c>
      <c r="F11" s="74">
        <f>Disability!X$73*EXP('Input data'!$B$4+'Input data'!$B$7+(1+Income!W$73)*'Input data'!$B$8*'Input data'!$E$33+'Input data'!$B$10+'Input data'!$B$19+'Input data'!$B$21)</f>
        <v>226284535.79943839</v>
      </c>
      <c r="G11" s="74">
        <f>Disability!Y$73*EXP('Input data'!$B$4+'Input data'!$B$7+(1+Income!X$73)*'Input data'!$B$8*'Input data'!$E$33+'Input data'!$B$10+'Input data'!$B$19+'Input data'!$B$21)</f>
        <v>229014437.46652091</v>
      </c>
      <c r="H11" s="74">
        <f>Disability!Z$73*EXP('Input data'!$B$4+'Input data'!$B$7+(1+Income!Y$73)*'Input data'!$B$8*'Input data'!$E$33+'Input data'!$B$10+'Input data'!$B$19+'Input data'!$B$21)</f>
        <v>231743955.22223732</v>
      </c>
      <c r="I11" s="74">
        <f>Disability!AA$73*EXP('Input data'!$B$4+'Input data'!$B$7+(1+Income!Z$73)*'Input data'!$B$8*'Input data'!$E$33+'Input data'!$B$10+'Input data'!$B$19+'Input data'!$B$21)</f>
        <v>234473125.60875753</v>
      </c>
      <c r="J11" s="74">
        <f>Disability!AB$73*EXP('Input data'!$B$4+'Input data'!$B$7+(1+Income!AA$73)*'Input data'!$B$8*'Input data'!$E$33+'Input data'!$B$10+'Input data'!$B$19+'Input data'!$B$21)</f>
        <v>236157395.18585145</v>
      </c>
      <c r="K11" s="74">
        <f>Disability!AC$73*EXP('Input data'!$B$4+'Input data'!$B$7+(1+Income!AB$73)*'Input data'!$B$8*'Input data'!$E$33+'Input data'!$B$10+'Input data'!$B$19+'Input data'!$B$21)</f>
        <v>239763443.65644348</v>
      </c>
      <c r="L11" s="74">
        <f>Disability!AD$73*EXP('Input data'!$B$4+'Input data'!$B$7+(1+Income!AC$73)*'Input data'!$B$8*'Input data'!$E$33+'Input data'!$B$10+'Input data'!$B$19+'Input data'!$B$21)</f>
        <v>242627628.11902767</v>
      </c>
      <c r="M11" s="74">
        <f>Disability!AE$73*EXP('Input data'!$B$4+'Input data'!$B$7+(1+Income!AD$73)*'Input data'!$B$8*'Input data'!$E$33+'Input data'!$B$10+'Input data'!$B$19+'Input data'!$B$21)</f>
        <v>245336397.43064019</v>
      </c>
      <c r="N11" s="74">
        <f>Disability!AF$73*EXP('Input data'!$B$4+'Input data'!$B$7+(1+Income!AE$73)*'Input data'!$B$8*'Input data'!$E$33+'Input data'!$B$10+'Input data'!$B$19+'Input data'!$B$21)</f>
        <v>248160189.72291127</v>
      </c>
      <c r="O11" s="74">
        <f>Disability!AG$73*EXP('Input data'!$B$4+'Input data'!$B$7+(1+Income!AF$73)*'Input data'!$B$8*'Input data'!$E$33+'Input data'!$B$10+'Input data'!$B$19+'Input data'!$B$21)</f>
        <v>250897260.57138968</v>
      </c>
    </row>
    <row r="12" spans="1:15" ht="15" customHeight="1" x14ac:dyDescent="0.25">
      <c r="A12" s="59" t="s">
        <v>16</v>
      </c>
      <c r="B12" s="59" t="s">
        <v>13</v>
      </c>
      <c r="C12" s="59" t="s">
        <v>14</v>
      </c>
      <c r="D12" s="59" t="s">
        <v>0</v>
      </c>
      <c r="E12" s="74">
        <f>Disability!W$74*EXP('Input data'!$B$5+'Input data'!$B$7+(1+Income!V$74)*'Input data'!$B$8*'Input data'!$E$34+'Input data'!$B$10+'Input data'!$B$17+'Input data'!$B$21)</f>
        <v>71780776.344295293</v>
      </c>
      <c r="F12" s="74">
        <f>Disability!X$74*EXP('Input data'!$B$5+'Input data'!$B$7+(1+Income!W$74)*'Input data'!$B$8*'Input data'!$E$34+'Input data'!$B$10+'Input data'!$B$17+'Input data'!$B$21)</f>
        <v>71263682.265327618</v>
      </c>
      <c r="G12" s="74">
        <f>Disability!Y$74*EXP('Input data'!$B$5+'Input data'!$B$7+(1+Income!X$74)*'Input data'!$B$8*'Input data'!$E$34+'Input data'!$B$10+'Input data'!$B$17+'Input data'!$B$21)</f>
        <v>70826634.418542966</v>
      </c>
      <c r="H12" s="74">
        <f>Disability!Z$74*EXP('Input data'!$B$5+'Input data'!$B$7+(1+Income!Y$74)*'Input data'!$B$8*'Input data'!$E$34+'Input data'!$B$10+'Input data'!$B$17+'Input data'!$B$21)</f>
        <v>70389229.254871845</v>
      </c>
      <c r="I12" s="74">
        <f>Disability!AA$74*EXP('Input data'!$B$5+'Input data'!$B$7+(1+Income!Z$74)*'Input data'!$B$8*'Input data'!$E$34+'Input data'!$B$10+'Input data'!$B$17+'Input data'!$B$21)</f>
        <v>69951502.294459015</v>
      </c>
      <c r="J12" s="74">
        <f>Disability!AB$74*EXP('Input data'!$B$5+'Input data'!$B$7+(1+Income!AA$74)*'Input data'!$B$8*'Input data'!$E$34+'Input data'!$B$10+'Input data'!$B$17+'Input data'!$B$21)</f>
        <v>69252241.901786938</v>
      </c>
      <c r="K12" s="74">
        <f>Disability!AC$74*EXP('Input data'!$B$5+'Input data'!$B$7+(1+Income!AB$74)*'Input data'!$B$8*'Input data'!$E$34+'Input data'!$B$10+'Input data'!$B$17+'Input data'!$B$21)</f>
        <v>69075254.397445291</v>
      </c>
      <c r="L12" s="74">
        <f>Disability!AD$74*EXP('Input data'!$B$5+'Input data'!$B$7+(1+Income!AC$74)*'Input data'!$B$8*'Input data'!$E$34+'Input data'!$B$10+'Input data'!$B$17+'Input data'!$B$21)</f>
        <v>68575469.714838102</v>
      </c>
      <c r="M12" s="74">
        <f>Disability!AE$74*EXP('Input data'!$B$5+'Input data'!$B$7+(1+Income!AD$74)*'Input data'!$B$8*'Input data'!$E$34+'Input data'!$B$10+'Input data'!$B$17+'Input data'!$B$21)</f>
        <v>68205743.265686244</v>
      </c>
      <c r="N12" s="74">
        <f>Disability!AF$74*EXP('Input data'!$B$5+'Input data'!$B$7+(1+Income!AE$74)*'Input data'!$B$8*'Input data'!$E$34+'Input data'!$B$10+'Input data'!$B$17+'Input data'!$B$21)</f>
        <v>67750829.411850989</v>
      </c>
      <c r="O12" s="74">
        <f>Disability!AG$74*EXP('Input data'!$B$5+'Input data'!$B$7+(1+Income!AF$74)*'Input data'!$B$8*'Input data'!$E$34+'Input data'!$B$10+'Input data'!$B$17+'Input data'!$B$21)</f>
        <v>67300180.054138571</v>
      </c>
    </row>
    <row r="13" spans="1:15" ht="15" customHeight="1" x14ac:dyDescent="0.25">
      <c r="A13" s="59" t="s">
        <v>16</v>
      </c>
      <c r="B13" s="59" t="s">
        <v>13</v>
      </c>
      <c r="C13" s="59" t="s">
        <v>14</v>
      </c>
      <c r="D13" s="59" t="s">
        <v>1</v>
      </c>
      <c r="E13" s="74">
        <f>Disability!W$75*EXP('Input data'!$B$5+'Input data'!$B$7+(1+Income!V$75)*'Input data'!$B$8*'Input data'!$E$35+'Input data'!$B$10+'Input data'!$B$18+'Input data'!$B$21)</f>
        <v>158032682.79296187</v>
      </c>
      <c r="F13" s="74">
        <f>Disability!X$75*EXP('Input data'!$B$5+'Input data'!$B$7+(1+Income!W$75)*'Input data'!$B$8*'Input data'!$E$35+'Input data'!$B$10+'Input data'!$B$18+'Input data'!$B$21)</f>
        <v>157665450.19710103</v>
      </c>
      <c r="G13" s="74">
        <f>Disability!Y$75*EXP('Input data'!$B$5+'Input data'!$B$7+(1+Income!X$75)*'Input data'!$B$8*'Input data'!$E$35+'Input data'!$B$10+'Input data'!$B$18+'Input data'!$B$21)</f>
        <v>157798443.26937059</v>
      </c>
      <c r="H13" s="74">
        <f>Disability!Z$75*EXP('Input data'!$B$5+'Input data'!$B$7+(1+Income!Y$75)*'Input data'!$B$8*'Input data'!$E$35+'Input data'!$B$10+'Input data'!$B$18+'Input data'!$B$21)</f>
        <v>157931194.27816787</v>
      </c>
      <c r="I13" s="74">
        <f>Disability!AA$75*EXP('Input data'!$B$5+'Input data'!$B$7+(1+Income!Z$75)*'Input data'!$B$8*'Input data'!$E$35+'Input data'!$B$10+'Input data'!$B$18+'Input data'!$B$21)</f>
        <v>158063726.36695087</v>
      </c>
      <c r="J13" s="74">
        <f>Disability!AB$75*EXP('Input data'!$B$5+'Input data'!$B$7+(1+Income!AA$75)*'Input data'!$B$8*'Input data'!$E$35+'Input data'!$B$10+'Input data'!$B$18+'Input data'!$B$21)</f>
        <v>157939680.14641646</v>
      </c>
      <c r="K13" s="74">
        <f>Disability!AC$75*EXP('Input data'!$B$5+'Input data'!$B$7+(1+Income!AB$75)*'Input data'!$B$8*'Input data'!$E$35+'Input data'!$B$10+'Input data'!$B$18+'Input data'!$B$21)</f>
        <v>158287897.13136151</v>
      </c>
      <c r="L13" s="74">
        <f>Disability!AD$75*EXP('Input data'!$B$5+'Input data'!$B$7+(1+Income!AC$75)*'Input data'!$B$8*'Input data'!$E$35+'Input data'!$B$10+'Input data'!$B$18+'Input data'!$B$21)</f>
        <v>158434073.36668238</v>
      </c>
      <c r="M13" s="74">
        <f>Disability!AE$75*EXP('Input data'!$B$5+'Input data'!$B$7+(1+Income!AD$75)*'Input data'!$B$8*'Input data'!$E$35+'Input data'!$B$10+'Input data'!$B$18+'Input data'!$B$21)</f>
        <v>158570584.26695362</v>
      </c>
      <c r="N13" s="74">
        <f>Disability!AF$75*EXP('Input data'!$B$5+'Input data'!$B$7+(1+Income!AE$75)*'Input data'!$B$8*'Input data'!$E$35+'Input data'!$B$10+'Input data'!$B$18+'Input data'!$B$21)</f>
        <v>158672559.1922251</v>
      </c>
      <c r="O13" s="74">
        <f>Disability!AG$75*EXP('Input data'!$B$5+'Input data'!$B$7+(1+Income!AF$75)*'Input data'!$B$8*'Input data'!$E$35+'Input data'!$B$10+'Input data'!$B$18+'Input data'!$B$21)</f>
        <v>158767567.069433</v>
      </c>
    </row>
    <row r="14" spans="1:15" ht="15" customHeight="1" x14ac:dyDescent="0.25">
      <c r="A14" s="59" t="s">
        <v>16</v>
      </c>
      <c r="B14" s="59" t="s">
        <v>13</v>
      </c>
      <c r="C14" s="59" t="s">
        <v>14</v>
      </c>
      <c r="D14" s="59" t="s">
        <v>2</v>
      </c>
      <c r="E14" s="74">
        <f>Disability!W$76*EXP('Input data'!$B$5+'Input data'!$B$7+(1+Income!V$76)*'Input data'!$B$8*'Input data'!$E$36+'Input data'!$B$10+'Input data'!$B$19+'Input data'!$B$21)</f>
        <v>224755024.34543622</v>
      </c>
      <c r="F14" s="74">
        <f>Disability!X$76*EXP('Input data'!$B$5+'Input data'!$B$7+(1+Income!W$76)*'Input data'!$B$8*'Input data'!$E$36+'Input data'!$B$10+'Input data'!$B$19+'Input data'!$B$21)</f>
        <v>225449205.63380793</v>
      </c>
      <c r="G14" s="74">
        <f>Disability!Y$76*EXP('Input data'!$B$5+'Input data'!$B$7+(1+Income!X$76)*'Input data'!$B$8*'Input data'!$E$36+'Input data'!$B$10+'Input data'!$B$19+'Input data'!$B$21)</f>
        <v>226132132.73325199</v>
      </c>
      <c r="H14" s="74">
        <f>Disability!Z$76*EXP('Input data'!$B$5+'Input data'!$B$7+(1+Income!Y$76)*'Input data'!$B$8*'Input data'!$E$36+'Input data'!$B$10+'Input data'!$B$19+'Input data'!$B$21)</f>
        <v>226814420.83457989</v>
      </c>
      <c r="I14" s="74">
        <f>Disability!AA$76*EXP('Input data'!$B$5+'Input data'!$B$7+(1+Income!Z$76)*'Input data'!$B$8*'Input data'!$E$36+'Input data'!$B$10+'Input data'!$B$19+'Input data'!$B$21)</f>
        <v>227496134.47740215</v>
      </c>
      <c r="J14" s="74">
        <f>Disability!AB$76*EXP('Input data'!$B$5+'Input data'!$B$7+(1+Income!AA$76)*'Input data'!$B$8*'Input data'!$E$36+'Input data'!$B$10+'Input data'!$B$19+'Input data'!$B$21)</f>
        <v>227162959.15848589</v>
      </c>
      <c r="K14" s="74">
        <f>Disability!AC$76*EXP('Input data'!$B$5+'Input data'!$B$7+(1+Income!AB$76)*'Input data'!$B$8*'Input data'!$E$36+'Input data'!$B$10+'Input data'!$B$19+'Input data'!$B$21)</f>
        <v>228673444.35002327</v>
      </c>
      <c r="L14" s="74">
        <f>Disability!AD$76*EXP('Input data'!$B$5+'Input data'!$B$7+(1+Income!AC$76)*'Input data'!$B$8*'Input data'!$E$36+'Input data'!$B$10+'Input data'!$B$19+'Input data'!$B$21)</f>
        <v>229444850.26961887</v>
      </c>
      <c r="M14" s="74">
        <f>Disability!AE$76*EXP('Input data'!$B$5+'Input data'!$B$7+(1+Income!AD$76)*'Input data'!$B$8*'Input data'!$E$36+'Input data'!$B$10+'Input data'!$B$19+'Input data'!$B$21)</f>
        <v>230177052.31986648</v>
      </c>
      <c r="N14" s="74">
        <f>Disability!AF$76*EXP('Input data'!$B$5+'Input data'!$B$7+(1+Income!AE$76)*'Input data'!$B$8*'Input data'!$E$36+'Input data'!$B$10+'Input data'!$B$19+'Input data'!$B$21)</f>
        <v>230861093.47790036</v>
      </c>
      <c r="O14" s="74">
        <f>Disability!AG$76*EXP('Input data'!$B$5+'Input data'!$B$7+(1+Income!AF$76)*'Input data'!$B$8*'Input data'!$E$36+'Input data'!$B$10+'Input data'!$B$19+'Input data'!$B$21)</f>
        <v>231530274.18141007</v>
      </c>
    </row>
    <row r="15" spans="1:15" ht="15" customHeight="1" x14ac:dyDescent="0.25">
      <c r="A15" s="59" t="s">
        <v>17</v>
      </c>
      <c r="B15" s="59" t="s">
        <v>11</v>
      </c>
      <c r="C15" s="59" t="s">
        <v>14</v>
      </c>
      <c r="D15" s="59" t="s">
        <v>0</v>
      </c>
      <c r="E15" s="74">
        <f>Disability!W$77*EXP('Input data'!$B$4+'Input data'!$B$7+(1+Income!V$77)*'Input data'!$B$8*'Input data'!$E$37+'Input data'!$B$11+'Input data'!$B$17+'Input data'!$B$21)</f>
        <v>46234075.635136001</v>
      </c>
      <c r="F15" s="74">
        <f>Disability!X$77*EXP('Input data'!$B$4+'Input data'!$B$7+(1+Income!W$77)*'Input data'!$B$8*'Input data'!$E$37+'Input data'!$B$11+'Input data'!$B$17+'Input data'!$B$21)</f>
        <v>46449645.457573853</v>
      </c>
      <c r="G15" s="74">
        <f>Disability!Y$77*EXP('Input data'!$B$4+'Input data'!$B$7+(1+Income!X$77)*'Input data'!$B$8*'Input data'!$E$37+'Input data'!$B$11+'Input data'!$B$17+'Input data'!$B$21)</f>
        <v>46743685.553711437</v>
      </c>
      <c r="H15" s="74">
        <f>Disability!Z$77*EXP('Input data'!$B$4+'Input data'!$B$7+(1+Income!Y$77)*'Input data'!$B$8*'Input data'!$E$37+'Input data'!$B$11+'Input data'!$B$17+'Input data'!$B$21)</f>
        <v>47037596.970141128</v>
      </c>
      <c r="I15" s="74">
        <f>Disability!AA$77*EXP('Input data'!$B$4+'Input data'!$B$7+(1+Income!Z$77)*'Input data'!$B$8*'Input data'!$E$37+'Input data'!$B$11+'Input data'!$B$17+'Input data'!$B$21)</f>
        <v>47331391.722309716</v>
      </c>
      <c r="J15" s="74">
        <f>Disability!AB$77*EXP('Input data'!$B$4+'Input data'!$B$7+(1+Income!AA$77)*'Input data'!$B$8*'Input data'!$E$37+'Input data'!$B$11+'Input data'!$B$17+'Input data'!$B$21)</f>
        <v>47478983.130269438</v>
      </c>
      <c r="K15" s="74">
        <f>Disability!AC$77*EXP('Input data'!$B$4+'Input data'!$B$7+(1+Income!AB$77)*'Input data'!$B$8*'Input data'!$E$37+'Input data'!$B$11+'Input data'!$B$17+'Input data'!$B$21)</f>
        <v>47917563.914041497</v>
      </c>
      <c r="L15" s="74">
        <f>Disability!AD$77*EXP('Input data'!$B$4+'Input data'!$B$7+(1+Income!AC$77)*'Input data'!$B$8*'Input data'!$E$37+'Input data'!$B$11+'Input data'!$B$17+'Input data'!$B$21)</f>
        <v>48187438.098625012</v>
      </c>
      <c r="M15" s="74">
        <f>Disability!AE$77*EXP('Input data'!$B$4+'Input data'!$B$7+(1+Income!AD$77)*'Input data'!$B$8*'Input data'!$E$37+'Input data'!$B$11+'Input data'!$B$17+'Input data'!$B$21)</f>
        <v>48521436.922709957</v>
      </c>
      <c r="N15" s="74">
        <f>Disability!AF$77*EXP('Input data'!$B$4+'Input data'!$B$7+(1+Income!AE$77)*'Input data'!$B$8*'Input data'!$E$37+'Input data'!$B$11+'Input data'!$B$17+'Input data'!$B$21)</f>
        <v>48786129.537750766</v>
      </c>
      <c r="O15" s="74">
        <f>Disability!AG$77*EXP('Input data'!$B$4+'Input data'!$B$7+(1+Income!AF$77)*'Input data'!$B$8*'Input data'!$E$37+'Input data'!$B$11+'Input data'!$B$17+'Input data'!$B$21)</f>
        <v>49075882.569438495</v>
      </c>
    </row>
    <row r="16" spans="1:15" ht="15" customHeight="1" x14ac:dyDescent="0.25">
      <c r="A16" s="59" t="s">
        <v>17</v>
      </c>
      <c r="B16" s="59" t="s">
        <v>11</v>
      </c>
      <c r="C16" s="59" t="s">
        <v>14</v>
      </c>
      <c r="D16" s="59" t="s">
        <v>1</v>
      </c>
      <c r="E16" s="74">
        <f>Disability!W$78*EXP('Input data'!$B$4+'Input data'!$B$7+(1+Income!V$78)*'Input data'!$B$8*'Input data'!$E$38+'Input data'!$B$11+'Input data'!$B$18+'Input data'!$B$21)</f>
        <v>84467506.014908448</v>
      </c>
      <c r="F16" s="74">
        <f>Disability!X$78*EXP('Input data'!$B$4+'Input data'!$B$7+(1+Income!W$78)*'Input data'!$B$8*'Input data'!$E$38+'Input data'!$B$11+'Input data'!$B$18+'Input data'!$B$21)</f>
        <v>84649628.458577111</v>
      </c>
      <c r="G16" s="74">
        <f>Disability!Y$78*EXP('Input data'!$B$4+'Input data'!$B$7+(1+Income!X$78)*'Input data'!$B$8*'Input data'!$E$38+'Input data'!$B$11+'Input data'!$B$18+'Input data'!$B$21)</f>
        <v>85061017.721363351</v>
      </c>
      <c r="H16" s="74">
        <f>Disability!Z$78*EXP('Input data'!$B$4+'Input data'!$B$7+(1+Income!Y$78)*'Input data'!$B$8*'Input data'!$E$38+'Input data'!$B$11+'Input data'!$B$18+'Input data'!$B$21)</f>
        <v>85472297.741024479</v>
      </c>
      <c r="I16" s="74">
        <f>Disability!AA$78*EXP('Input data'!$B$4+'Input data'!$B$7+(1+Income!Z$78)*'Input data'!$B$8*'Input data'!$E$38+'Input data'!$B$11+'Input data'!$B$18+'Input data'!$B$21)</f>
        <v>85883479.187555924</v>
      </c>
      <c r="J16" s="74">
        <f>Disability!AB$78*EXP('Input data'!$B$4+'Input data'!$B$7+(1+Income!AA$78)*'Input data'!$B$8*'Input data'!$E$38+'Input data'!$B$11+'Input data'!$B$18+'Input data'!$B$21)</f>
        <v>86193128.083956584</v>
      </c>
      <c r="K16" s="74">
        <f>Disability!AC$78*EXP('Input data'!$B$4+'Input data'!$B$7+(1+Income!AB$78)*'Input data'!$B$8*'Input data'!$E$38+'Input data'!$B$11+'Input data'!$B$18+'Input data'!$B$21)</f>
        <v>86679652.15352571</v>
      </c>
      <c r="L16" s="74">
        <f>Disability!AD$78*EXP('Input data'!$B$4+'Input data'!$B$7+(1+Income!AC$78)*'Input data'!$B$8*'Input data'!$E$38+'Input data'!$B$11+'Input data'!$B$18+'Input data'!$B$21)</f>
        <v>87085387.311315998</v>
      </c>
      <c r="M16" s="74">
        <f>Disability!AE$78*EXP('Input data'!$B$4+'Input data'!$B$7+(1+Income!AD$78)*'Input data'!$B$8*'Input data'!$E$38+'Input data'!$B$11+'Input data'!$B$18+'Input data'!$B$21)</f>
        <v>87513497.62495935</v>
      </c>
      <c r="N16" s="74">
        <f>Disability!AF$78*EXP('Input data'!$B$4+'Input data'!$B$7+(1+Income!AE$78)*'Input data'!$B$8*'Input data'!$E$38+'Input data'!$B$11+'Input data'!$B$18+'Input data'!$B$21)</f>
        <v>87916725.389050588</v>
      </c>
      <c r="O16" s="74">
        <f>Disability!AG$78*EXP('Input data'!$B$4+'Input data'!$B$7+(1+Income!AF$78)*'Input data'!$B$8*'Input data'!$E$38+'Input data'!$B$11+'Input data'!$B$18+'Input data'!$B$21)</f>
        <v>88307055.819883689</v>
      </c>
    </row>
    <row r="17" spans="1:15" ht="15" customHeight="1" x14ac:dyDescent="0.25">
      <c r="A17" s="59" t="s">
        <v>17</v>
      </c>
      <c r="B17" s="59" t="s">
        <v>11</v>
      </c>
      <c r="C17" s="59" t="s">
        <v>14</v>
      </c>
      <c r="D17" s="59" t="s">
        <v>2</v>
      </c>
      <c r="E17" s="74">
        <f>Disability!W$79*EXP('Input data'!$B$4+'Input data'!$B$7+(1+Income!V$79)*'Input data'!$B$8*'Input data'!$E$39+'Input data'!$B$11+'Input data'!$B$19+'Input data'!$B$21)</f>
        <v>119362019.66896224</v>
      </c>
      <c r="F17" s="74">
        <f>Disability!X$79*EXP('Input data'!$B$4+'Input data'!$B$7+(1+Income!W$79)*'Input data'!$B$8*'Input data'!$E$39+'Input data'!$B$11+'Input data'!$B$19+'Input data'!$B$21)</f>
        <v>119284287.28914829</v>
      </c>
      <c r="G17" s="74">
        <f>Disability!Y$79*EXP('Input data'!$B$4+'Input data'!$B$7+(1+Income!X$79)*'Input data'!$B$8*'Input data'!$E$39+'Input data'!$B$11+'Input data'!$B$19+'Input data'!$B$21)</f>
        <v>119100602.96795349</v>
      </c>
      <c r="H17" s="74">
        <f>Disability!Z$79*EXP('Input data'!$B$4+'Input data'!$B$7+(1+Income!Y$79)*'Input data'!$B$8*'Input data'!$E$39+'Input data'!$B$11+'Input data'!$B$19+'Input data'!$B$21)</f>
        <v>118916666.30560596</v>
      </c>
      <c r="I17" s="74">
        <f>Disability!AA$79*EXP('Input data'!$B$4+'Input data'!$B$7+(1+Income!Z$79)*'Input data'!$B$8*'Input data'!$E$39+'Input data'!$B$11+'Input data'!$B$19+'Input data'!$B$21)</f>
        <v>118732501.15894458</v>
      </c>
      <c r="J17" s="74">
        <f>Disability!AB$79*EXP('Input data'!$B$4+'Input data'!$B$7+(1+Income!AA$79)*'Input data'!$B$8*'Input data'!$E$39+'Input data'!$B$11+'Input data'!$B$19+'Input data'!$B$21)</f>
        <v>118121781.92345732</v>
      </c>
      <c r="K17" s="74">
        <f>Disability!AC$79*EXP('Input data'!$B$4+'Input data'!$B$7+(1+Income!AB$79)*'Input data'!$B$8*'Input data'!$E$39+'Input data'!$B$11+'Input data'!$B$19+'Input data'!$B$21)</f>
        <v>118294848.78387234</v>
      </c>
      <c r="L17" s="74">
        <f>Disability!AD$79*EXP('Input data'!$B$4+'Input data'!$B$7+(1+Income!AC$79)*'Input data'!$B$8*'Input data'!$E$39+'Input data'!$B$11+'Input data'!$B$19+'Input data'!$B$21)</f>
        <v>118144787.56237301</v>
      </c>
      <c r="M17" s="74">
        <f>Disability!AE$79*EXP('Input data'!$B$4+'Input data'!$B$7+(1+Income!AD$79)*'Input data'!$B$8*'Input data'!$E$39+'Input data'!$B$11+'Input data'!$B$19+'Input data'!$B$21)</f>
        <v>117980310.11614802</v>
      </c>
      <c r="N17" s="74">
        <f>Disability!AF$79*EXP('Input data'!$B$4+'Input data'!$B$7+(1+Income!AE$79)*'Input data'!$B$8*'Input data'!$E$39+'Input data'!$B$11+'Input data'!$B$19+'Input data'!$B$21)</f>
        <v>117804660.32744606</v>
      </c>
      <c r="O17" s="74">
        <f>Disability!AG$79*EXP('Input data'!$B$4+'Input data'!$B$7+(1+Income!AF$79)*'Input data'!$B$8*'Input data'!$E$39+'Input data'!$B$11+'Input data'!$B$19+'Input data'!$B$21)</f>
        <v>117616612.45605712</v>
      </c>
    </row>
    <row r="18" spans="1:15" ht="15" customHeight="1" x14ac:dyDescent="0.25">
      <c r="A18" s="59" t="s">
        <v>17</v>
      </c>
      <c r="B18" s="59" t="s">
        <v>13</v>
      </c>
      <c r="C18" s="59" t="s">
        <v>14</v>
      </c>
      <c r="D18" s="59" t="s">
        <v>0</v>
      </c>
      <c r="E18" s="74">
        <f>Disability!W$80*EXP('Input data'!$B$5+'Input data'!$B$7+(1+Income!V$80)*'Input data'!$B$8*'Input data'!$E$40+'Input data'!$B$11+'Input data'!$B$17+'Input data'!$B$21)</f>
        <v>55993399.831151903</v>
      </c>
      <c r="F18" s="74">
        <f>Disability!X$80*EXP('Input data'!$B$5+'Input data'!$B$7+(1+Income!W$80)*'Input data'!$B$8*'Input data'!$E$40+'Input data'!$B$11+'Input data'!$B$17+'Input data'!$B$21)</f>
        <v>55285028.797439352</v>
      </c>
      <c r="G18" s="74">
        <f>Disability!Y$80*EXP('Input data'!$B$5+'Input data'!$B$7+(1+Income!X$80)*'Input data'!$B$8*'Input data'!$E$40+'Input data'!$B$11+'Input data'!$B$17+'Input data'!$B$21)</f>
        <v>54672485.590601169</v>
      </c>
      <c r="H18" s="74">
        <f>Disability!Z$80*EXP('Input data'!$B$5+'Input data'!$B$7+(1+Income!Y$80)*'Input data'!$B$8*'Input data'!$E$40+'Input data'!$B$11+'Input data'!$B$17+'Input data'!$B$21)</f>
        <v>54059725.497494295</v>
      </c>
      <c r="I18" s="74">
        <f>Disability!AA$80*EXP('Input data'!$B$5+'Input data'!$B$7+(1+Income!Z$80)*'Input data'!$B$8*'Input data'!$E$40+'Input data'!$B$11+'Input data'!$B$17+'Input data'!$B$21)</f>
        <v>53446769.211134464</v>
      </c>
      <c r="J18" s="74">
        <f>Disability!AB$80*EXP('Input data'!$B$5+'Input data'!$B$7+(1+Income!AA$80)*'Input data'!$B$8*'Input data'!$E$40+'Input data'!$B$11+'Input data'!$B$17+'Input data'!$B$21)</f>
        <v>52694634.138250373</v>
      </c>
      <c r="K18" s="74">
        <f>Disability!AC$80*EXP('Input data'!$B$5+'Input data'!$B$7+(1+Income!AB$80)*'Input data'!$B$8*'Input data'!$E$40+'Input data'!$B$11+'Input data'!$B$17+'Input data'!$B$21)</f>
        <v>52219934.360306904</v>
      </c>
      <c r="L18" s="74">
        <f>Disability!AD$80*EXP('Input data'!$B$5+'Input data'!$B$7+(1+Income!AC$80)*'Input data'!$B$8*'Input data'!$E$40+'Input data'!$B$11+'Input data'!$B$17+'Input data'!$B$21)</f>
        <v>51584593.979676403</v>
      </c>
      <c r="M18" s="74">
        <f>Disability!AE$80*EXP('Input data'!$B$5+'Input data'!$B$7+(1+Income!AD$80)*'Input data'!$B$8*'Input data'!$E$40+'Input data'!$B$11+'Input data'!$B$17+'Input data'!$B$21)</f>
        <v>51005004.401414037</v>
      </c>
      <c r="N18" s="74">
        <f>Disability!AF$80*EXP('Input data'!$B$5+'Input data'!$B$7+(1+Income!AE$80)*'Input data'!$B$8*'Input data'!$E$40+'Input data'!$B$11+'Input data'!$B$17+'Input data'!$B$21)</f>
        <v>50372532.219113402</v>
      </c>
      <c r="O18" s="74">
        <f>Disability!AG$80*EXP('Input data'!$B$5+'Input data'!$B$7+(1+Income!AF$80)*'Input data'!$B$8*'Input data'!$E$40+'Input data'!$B$11+'Input data'!$B$17+'Input data'!$B$21)</f>
        <v>49750011.660713531</v>
      </c>
    </row>
    <row r="19" spans="1:15" ht="15" customHeight="1" x14ac:dyDescent="0.25">
      <c r="A19" s="59" t="s">
        <v>17</v>
      </c>
      <c r="B19" s="59" t="s">
        <v>13</v>
      </c>
      <c r="C19" s="59" t="s">
        <v>14</v>
      </c>
      <c r="D19" s="59" t="s">
        <v>1</v>
      </c>
      <c r="E19" s="74">
        <f>Disability!W$81*EXP('Input data'!$B$5+'Input data'!$B$7+(1+Income!V$81)*'Input data'!$B$8*'Input data'!$E$38+'Input data'!$B$11+'Input data'!$B$18+'Input data'!$B$21)</f>
        <v>119543695.56462567</v>
      </c>
      <c r="F19" s="74">
        <f>Disability!X$81*EXP('Input data'!$B$5+'Input data'!$B$7+(1+Income!W$81)*'Input data'!$B$8*'Input data'!$E$38+'Input data'!$B$11+'Input data'!$B$18+'Input data'!$B$21)</f>
        <v>118525280.57958944</v>
      </c>
      <c r="G19" s="74">
        <f>Disability!Y$81*EXP('Input data'!$B$5+'Input data'!$B$7+(1+Income!X$81)*'Input data'!$B$8*'Input data'!$E$38+'Input data'!$B$11+'Input data'!$B$18+'Input data'!$B$21)</f>
        <v>117857321.45238233</v>
      </c>
      <c r="H19" s="74">
        <f>Disability!Z$81*EXP('Input data'!$B$5+'Input data'!$B$7+(1+Income!Y$81)*'Input data'!$B$8*'Input data'!$E$38+'Input data'!$B$11+'Input data'!$B$18+'Input data'!$B$21)</f>
        <v>117189176.38958815</v>
      </c>
      <c r="I19" s="74">
        <f>Disability!AA$81*EXP('Input data'!$B$5+'Input data'!$B$7+(1+Income!Z$81)*'Input data'!$B$8*'Input data'!$E$38+'Input data'!$B$11+'Input data'!$B$18+'Input data'!$B$21)</f>
        <v>116520862.99981473</v>
      </c>
      <c r="J19" s="74">
        <f>Disability!AB$81*EXP('Input data'!$B$5+'Input data'!$B$7+(1+Income!AA$81)*'Input data'!$B$8*'Input data'!$E$38+'Input data'!$B$11+'Input data'!$B$18+'Input data'!$B$21)</f>
        <v>115702411.34954362</v>
      </c>
      <c r="K19" s="74">
        <f>Disability!AC$81*EXP('Input data'!$B$5+'Input data'!$B$7+(1+Income!AB$81)*'Input data'!$B$8*'Input data'!$E$38+'Input data'!$B$11+'Input data'!$B$18+'Input data'!$B$21)</f>
        <v>115158274.80684887</v>
      </c>
      <c r="L19" s="74">
        <f>Disability!AD$81*EXP('Input data'!$B$5+'Input data'!$B$7+(1+Income!AC$81)*'Input data'!$B$8*'Input data'!$E$38+'Input data'!$B$11+'Input data'!$B$18+'Input data'!$B$21)</f>
        <v>114485705.23330393</v>
      </c>
      <c r="M19" s="74">
        <f>Disability!AE$81*EXP('Input data'!$B$5+'Input data'!$B$7+(1+Income!AD$81)*'Input data'!$B$8*'Input data'!$E$38+'Input data'!$B$11+'Input data'!$B$18+'Input data'!$B$21)</f>
        <v>113824804.49203117</v>
      </c>
      <c r="N19" s="74">
        <f>Disability!AF$81*EXP('Input data'!$B$5+'Input data'!$B$7+(1+Income!AE$81)*'Input data'!$B$8*'Input data'!$E$38+'Input data'!$B$11+'Input data'!$B$18+'Input data'!$B$21)</f>
        <v>113141612.28961559</v>
      </c>
      <c r="O19" s="74">
        <f>Disability!AG$81*EXP('Input data'!$B$5+'Input data'!$B$7+(1+Income!AF$81)*'Input data'!$B$8*'Input data'!$E$38+'Input data'!$B$11+'Input data'!$B$18+'Input data'!$B$21)</f>
        <v>112450176.98682821</v>
      </c>
    </row>
    <row r="20" spans="1:15" ht="15" customHeight="1" x14ac:dyDescent="0.25">
      <c r="A20" s="59" t="s">
        <v>17</v>
      </c>
      <c r="B20" s="59" t="s">
        <v>13</v>
      </c>
      <c r="C20" s="59" t="s">
        <v>14</v>
      </c>
      <c r="D20" s="59" t="s">
        <v>2</v>
      </c>
      <c r="E20" s="74">
        <f>Disability!W$82*EXP('Input data'!$B$5+'Input data'!$B$7+(1+Income!V$82)*'Input data'!$B$8*'Input data'!$E$42+'Input data'!$B$11+'Input data'!$B$19+'Input data'!$B$21)</f>
        <v>156526407.74422607</v>
      </c>
      <c r="F20" s="74">
        <f>Disability!X$82*EXP('Input data'!$B$5+'Input data'!$B$7+(1+Income!W$82)*'Input data'!$B$8*'Input data'!$E$42+'Input data'!$B$11+'Input data'!$B$19+'Input data'!$B$21)</f>
        <v>152874380.50461099</v>
      </c>
      <c r="G20" s="74">
        <f>Disability!Y$82*EXP('Input data'!$B$5+'Input data'!$B$7+(1+Income!X$82)*'Input data'!$B$8*'Input data'!$E$42+'Input data'!$B$11+'Input data'!$B$19+'Input data'!$B$21)</f>
        <v>149456740.91119465</v>
      </c>
      <c r="H20" s="74">
        <f>Disability!Z$82*EXP('Input data'!$B$5+'Input data'!$B$7+(1+Income!Y$82)*'Input data'!$B$8*'Input data'!$E$42+'Input data'!$B$11+'Input data'!$B$19+'Input data'!$B$21)</f>
        <v>146038592.76358932</v>
      </c>
      <c r="I20" s="74">
        <f>Disability!AA$82*EXP('Input data'!$B$5+'Input data'!$B$7+(1+Income!Z$82)*'Input data'!$B$8*'Input data'!$E$42+'Input data'!$B$11+'Input data'!$B$19+'Input data'!$B$21)</f>
        <v>142619984.25426233</v>
      </c>
      <c r="J20" s="74">
        <f>Disability!AB$82*EXP('Input data'!$B$5+'Input data'!$B$7+(1+Income!AA$82)*'Input data'!$B$8*'Input data'!$E$42+'Input data'!$B$11+'Input data'!$B$19+'Input data'!$B$21)</f>
        <v>138846600.63708261</v>
      </c>
      <c r="K20" s="74">
        <f>Disability!AC$82*EXP('Input data'!$B$5+'Input data'!$B$7+(1+Income!AB$82)*'Input data'!$B$8*'Input data'!$E$42+'Input data'!$B$11+'Input data'!$B$19+'Input data'!$B$21)</f>
        <v>135716919.97282735</v>
      </c>
      <c r="L20" s="74">
        <f>Disability!AD$82*EXP('Input data'!$B$5+'Input data'!$B$7+(1+Income!AC$82)*'Input data'!$B$8*'Input data'!$E$42+'Input data'!$B$11+'Input data'!$B$19+'Input data'!$B$21)</f>
        <v>132324893.52851222</v>
      </c>
      <c r="M20" s="74">
        <f>Disability!AE$82*EXP('Input data'!$B$5+'Input data'!$B$7+(1+Income!AD$82)*'Input data'!$B$8*'Input data'!$E$42+'Input data'!$B$11+'Input data'!$B$19+'Input data'!$B$21)</f>
        <v>128921399.0841741</v>
      </c>
      <c r="N20" s="74">
        <f>Disability!AF$82*EXP('Input data'!$B$5+'Input data'!$B$7+(1+Income!AE$82)*'Input data'!$B$8*'Input data'!$E$42+'Input data'!$B$11+'Input data'!$B$19+'Input data'!$B$21)</f>
        <v>125488868.51778103</v>
      </c>
      <c r="O20" s="74">
        <f>Disability!AG$82*EXP('Input data'!$B$5+'Input data'!$B$7+(1+Income!AF$82)*'Input data'!$B$8*'Input data'!$E$42+'Input data'!$B$11+'Input data'!$B$19+'Input data'!$B$21)</f>
        <v>122061429.40591145</v>
      </c>
    </row>
    <row r="21" spans="1:15" ht="15" customHeight="1" x14ac:dyDescent="0.25">
      <c r="A21" s="59" t="s">
        <v>18</v>
      </c>
      <c r="B21" s="59" t="s">
        <v>11</v>
      </c>
      <c r="C21" s="59" t="s">
        <v>14</v>
      </c>
      <c r="D21" s="59" t="s">
        <v>0</v>
      </c>
      <c r="E21" s="74">
        <f>Disability!W$83*EXP('Input data'!$B$4+'Input data'!$B$7+(1+Income!V$77)*'Input data'!$B$8*'Input data'!$E$43+'Input data'!$B$12+'Input data'!$B$17+'Input data'!$B$21)</f>
        <v>20599829.018369511</v>
      </c>
      <c r="F21" s="74">
        <f>Disability!X$83*EXP('Input data'!$B$4+'Input data'!$B$7+(1+Income!W$77)*'Input data'!$B$8*'Input data'!$E$43+'Input data'!$B$12+'Input data'!$B$17+'Input data'!$B$21)</f>
        <v>20550036.972250666</v>
      </c>
      <c r="G21" s="74">
        <f>Disability!Y$83*EXP('Input data'!$B$4+'Input data'!$B$7+(1+Income!X$77)*'Input data'!$B$8*'Input data'!$E$43+'Input data'!$B$12+'Input data'!$B$17+'Input data'!$B$21)</f>
        <v>20535678.699974343</v>
      </c>
      <c r="H21" s="74">
        <f>Disability!Z$83*EXP('Input data'!$B$4+'Input data'!$B$7+(1+Income!Y$77)*'Input data'!$B$8*'Input data'!$E$43+'Input data'!$B$12+'Input data'!$B$17+'Input data'!$B$21)</f>
        <v>20521248.242039729</v>
      </c>
      <c r="I21" s="74">
        <f>Disability!AA$83*EXP('Input data'!$B$4+'Input data'!$B$7+(1+Income!Z$77)*'Input data'!$B$8*'Input data'!$E$43+'Input data'!$B$12+'Input data'!$B$17+'Input data'!$B$21)</f>
        <v>20506752.338703677</v>
      </c>
      <c r="J21" s="74">
        <f>Disability!AB$83*EXP('Input data'!$B$4+'Input data'!$B$7+(1+Income!AA$77)*'Input data'!$B$8*'Input data'!$E$43+'Input data'!$B$12+'Input data'!$B$17+'Input data'!$B$21)</f>
        <v>20428459.850260589</v>
      </c>
      <c r="K21" s="74">
        <f>Disability!AC$83*EXP('Input data'!$B$4+'Input data'!$B$7+(1+Income!AB$77)*'Input data'!$B$8*'Input data'!$E$43+'Input data'!$B$12+'Input data'!$B$17+'Input data'!$B$21)</f>
        <v>20477106.972197209</v>
      </c>
      <c r="L21" s="74">
        <f>Disability!AD$83*EXP('Input data'!$B$4+'Input data'!$B$7+(1+Income!AC$77)*'Input data'!$B$8*'Input data'!$E$43+'Input data'!$B$12+'Input data'!$B$17+'Input data'!$B$21)</f>
        <v>20452282.193775833</v>
      </c>
      <c r="M21" s="74">
        <f>Disability!AE$83*EXP('Input data'!$B$4+'Input data'!$B$7+(1+Income!AD$77)*'Input data'!$B$8*'Input data'!$E$43+'Input data'!$B$12+'Input data'!$B$17+'Input data'!$B$21)</f>
        <v>20454993.155435182</v>
      </c>
      <c r="N21" s="74">
        <f>Disability!AF$83*EXP('Input data'!$B$4+'Input data'!$B$7+(1+Income!AE$77)*'Input data'!$B$8*'Input data'!$E$43+'Input data'!$B$12+'Input data'!$B$17+'Input data'!$B$21)</f>
        <v>20428035.116283692</v>
      </c>
      <c r="O21" s="74">
        <f>Disability!AG$83*EXP('Input data'!$B$4+'Input data'!$B$7+(1+Income!AF$77)*'Input data'!$B$8*'Input data'!$E$43+'Input data'!$B$12+'Input data'!$B$17+'Input data'!$B$21)</f>
        <v>20411799.334749583</v>
      </c>
    </row>
    <row r="22" spans="1:15" ht="15" customHeight="1" x14ac:dyDescent="0.25">
      <c r="A22" s="59" t="s">
        <v>18</v>
      </c>
      <c r="B22" s="59" t="s">
        <v>11</v>
      </c>
      <c r="C22" s="59" t="s">
        <v>14</v>
      </c>
      <c r="D22" s="59" t="s">
        <v>1</v>
      </c>
      <c r="E22" s="74">
        <f>Disability!W$84*EXP('Input data'!$B$4+'Input data'!$B$7+(1+Income!V$78)*'Input data'!$B$8*'Input data'!$E$44+'Input data'!$B$12+'Input data'!$B$18+'Input data'!$B$21)</f>
        <v>43274311.973868996</v>
      </c>
      <c r="F22" s="74">
        <f>Disability!X$84*EXP('Input data'!$B$4+'Input data'!$B$7+(1+Income!W$78)*'Input data'!$B$8*'Input data'!$E$44+'Input data'!$B$12+'Input data'!$B$18+'Input data'!$B$21)</f>
        <v>43433466.095766358</v>
      </c>
      <c r="G22" s="74">
        <f>Disability!Y$84*EXP('Input data'!$B$4+'Input data'!$B$7+(1+Income!X$78)*'Input data'!$B$8*'Input data'!$E$44+'Input data'!$B$12+'Input data'!$B$18+'Input data'!$B$21)</f>
        <v>43786732.788424879</v>
      </c>
      <c r="H22" s="74">
        <f>Disability!Z$84*EXP('Input data'!$B$4+'Input data'!$B$7+(1+Income!Y$78)*'Input data'!$B$8*'Input data'!$E$44+'Input data'!$B$12+'Input data'!$B$18+'Input data'!$B$21)</f>
        <v>44139916.461589992</v>
      </c>
      <c r="I22" s="74">
        <f>Disability!AA$84*EXP('Input data'!$B$4+'Input data'!$B$7+(1+Income!Z$78)*'Input data'!$B$8*'Input data'!$E$44+'Input data'!$B$12+'Input data'!$B$18+'Input data'!$B$21)</f>
        <v>44493025.222420357</v>
      </c>
      <c r="J22" s="74">
        <f>Disability!AB$84*EXP('Input data'!$B$4+'Input data'!$B$7+(1+Income!AA$78)*'Input data'!$B$8*'Input data'!$E$44+'Input data'!$B$12+'Input data'!$B$18+'Input data'!$B$21)</f>
        <v>44758903.2701592</v>
      </c>
      <c r="K22" s="74">
        <f>Disability!AC$84*EXP('Input data'!$B$4+'Input data'!$B$7+(1+Income!AB$78)*'Input data'!$B$8*'Input data'!$E$44+'Input data'!$B$12+'Input data'!$B$18+'Input data'!$B$21)</f>
        <v>45176690.067234501</v>
      </c>
      <c r="L22" s="74">
        <f>Disability!AD$84*EXP('Input data'!$B$4+'Input data'!$B$7+(1+Income!AC$78)*'Input data'!$B$8*'Input data'!$E$44+'Input data'!$B$12+'Input data'!$B$18+'Input data'!$B$21)</f>
        <v>45525046.879372858</v>
      </c>
      <c r="M22" s="74">
        <f>Disability!AE$84*EXP('Input data'!$B$4+'Input data'!$B$7+(1+Income!AD$78)*'Input data'!$B$8*'Input data'!$E$44+'Input data'!$B$12+'Input data'!$B$18+'Input data'!$B$21)</f>
        <v>45892790.495329678</v>
      </c>
      <c r="N22" s="74">
        <f>Disability!AF$84*EXP('Input data'!$B$4+'Input data'!$B$7+(1+Income!AE$78)*'Input data'!$B$8*'Input data'!$E$44+'Input data'!$B$12+'Input data'!$B$18+'Input data'!$B$21)</f>
        <v>46238985.278626487</v>
      </c>
      <c r="O22" s="74">
        <f>Disability!AG$84*EXP('Input data'!$B$4+'Input data'!$B$7+(1+Income!AF$78)*'Input data'!$B$8*'Input data'!$E$44+'Input data'!$B$12+'Input data'!$B$18+'Input data'!$B$21)</f>
        <v>46573897.055138603</v>
      </c>
    </row>
    <row r="23" spans="1:15" ht="15" customHeight="1" x14ac:dyDescent="0.25">
      <c r="A23" s="59" t="s">
        <v>18</v>
      </c>
      <c r="B23" s="59" t="s">
        <v>11</v>
      </c>
      <c r="C23" s="59" t="s">
        <v>14</v>
      </c>
      <c r="D23" s="59" t="s">
        <v>2</v>
      </c>
      <c r="E23" s="74">
        <f>Disability!W$85*EXP('Input data'!$B$4+'Input data'!$B$7+(1+Income!V$79)*'Input data'!$B$8*'Input data'!$E$45+'Input data'!$B$12+'Input data'!$B$19+'Input data'!$B$21)</f>
        <v>63022299.574989676</v>
      </c>
      <c r="F23" s="74">
        <f>Disability!X$85*EXP('Input data'!$B$4+'Input data'!$B$7+(1+Income!W$79)*'Input data'!$B$8*'Input data'!$E$45+'Input data'!$B$12+'Input data'!$B$19+'Input data'!$B$21)</f>
        <v>62407313.74445647</v>
      </c>
      <c r="G23" s="74">
        <f>Disability!Y$85*EXP('Input data'!$B$4+'Input data'!$B$7+(1+Income!X$79)*'Input data'!$B$8*'Input data'!$E$45+'Input data'!$B$12+'Input data'!$B$19+'Input data'!$B$21)</f>
        <v>61736398.035243578</v>
      </c>
      <c r="H23" s="74">
        <f>Disability!Z$85*EXP('Input data'!$B$4+'Input data'!$B$7+(1+Income!Y$79)*'Input data'!$B$8*'Input data'!$E$45+'Input data'!$B$12+'Input data'!$B$19+'Input data'!$B$21)</f>
        <v>61065317.018703453</v>
      </c>
      <c r="I23" s="74">
        <f>Disability!AA$85*EXP('Input data'!$B$4+'Input data'!$B$7+(1+Income!Z$79)*'Input data'!$B$8*'Input data'!$E$45+'Input data'!$B$12+'Input data'!$B$19+'Input data'!$B$21)</f>
        <v>60394086.323328108</v>
      </c>
      <c r="J23" s="74">
        <f>Disability!AB$85*EXP('Input data'!$B$4+'Input data'!$B$7+(1+Income!AA$79)*'Input data'!$B$8*'Input data'!$E$45+'Input data'!$B$12+'Input data'!$B$19+'Input data'!$B$21)</f>
        <v>59508115.440999962</v>
      </c>
      <c r="K23" s="74">
        <f>Disability!AC$85*EXP('Input data'!$B$4+'Input data'!$B$7+(1+Income!AB$79)*'Input data'!$B$8*'Input data'!$E$45+'Input data'!$B$12+'Input data'!$B$19+'Input data'!$B$21)</f>
        <v>59016975.171786994</v>
      </c>
      <c r="L23" s="74">
        <f>Disability!AD$85*EXP('Input data'!$B$4+'Input data'!$B$7+(1+Income!AC$79)*'Input data'!$B$8*'Input data'!$E$45+'Input data'!$B$12+'Input data'!$B$19+'Input data'!$B$21)</f>
        <v>58362821.942573279</v>
      </c>
      <c r="M23" s="74">
        <f>Disability!AE$85*EXP('Input data'!$B$4+'Input data'!$B$7+(1+Income!AD$79)*'Input data'!$B$8*'Input data'!$E$45+'Input data'!$B$12+'Input data'!$B$19+'Input data'!$B$21)</f>
        <v>57701258.023864545</v>
      </c>
      <c r="N23" s="74">
        <f>Disability!AF$85*EXP('Input data'!$B$4+'Input data'!$B$7+(1+Income!AE$79)*'Input data'!$B$8*'Input data'!$E$45+'Input data'!$B$12+'Input data'!$B$19+'Input data'!$B$21)</f>
        <v>57034064.050986901</v>
      </c>
      <c r="O23" s="74">
        <f>Disability!AG$85*EXP('Input data'!$B$4+'Input data'!$B$7+(1+Income!AF$79)*'Input data'!$B$8*'Input data'!$E$45+'Input data'!$B$12+'Input data'!$B$19+'Input data'!$B$21)</f>
        <v>56360817.85185992</v>
      </c>
    </row>
    <row r="24" spans="1:15" ht="15" customHeight="1" x14ac:dyDescent="0.25">
      <c r="A24" s="59" t="s">
        <v>18</v>
      </c>
      <c r="B24" s="59" t="s">
        <v>13</v>
      </c>
      <c r="C24" s="59" t="s">
        <v>14</v>
      </c>
      <c r="D24" s="59" t="s">
        <v>0</v>
      </c>
      <c r="E24" s="74">
        <f>Disability!W$86*EXP('Input data'!$B$5+'Input data'!$B$7+(1+Income!V$80)*'Input data'!$B$8*'Input data'!$E$46+'Input data'!$B$12+'Input data'!$B$17+'Input data'!$B$21)</f>
        <v>41606160.621502653</v>
      </c>
      <c r="F24" s="74">
        <f>Disability!X$86*EXP('Input data'!$B$5+'Input data'!$B$7+(1+Income!W$80)*'Input data'!$B$8*'Input data'!$E$46+'Input data'!$B$12+'Input data'!$B$17+'Input data'!$B$21)</f>
        <v>41010225.163664639</v>
      </c>
      <c r="G24" s="74">
        <f>Disability!Y$86*EXP('Input data'!$B$5+'Input data'!$B$7+(1+Income!X$80)*'Input data'!$B$8*'Input data'!$E$46+'Input data'!$B$12+'Input data'!$B$17+'Input data'!$B$21)</f>
        <v>40483650.647238337</v>
      </c>
      <c r="H24" s="74">
        <f>Disability!Z$86*EXP('Input data'!$B$5+'Input data'!$B$7+(1+Income!Y$80)*'Input data'!$B$8*'Input data'!$E$46+'Input data'!$B$12+'Input data'!$B$17+'Input data'!$B$21)</f>
        <v>39956913.443112716</v>
      </c>
      <c r="I24" s="74">
        <f>Disability!AA$86*EXP('Input data'!$B$5+'Input data'!$B$7+(1+Income!Z$80)*'Input data'!$B$8*'Input data'!$E$46+'Input data'!$B$12+'Input data'!$B$17+'Input data'!$B$21)</f>
        <v>39430029.073486567</v>
      </c>
      <c r="J24" s="74">
        <f>Disability!AB$86*EXP('Input data'!$B$5+'Input data'!$B$7+(1+Income!AA$80)*'Input data'!$B$8*'Input data'!$E$46+'Input data'!$B$12+'Input data'!$B$17+'Input data'!$B$21)</f>
        <v>38803301.53629221</v>
      </c>
      <c r="K24" s="74">
        <f>Disability!AC$86*EXP('Input data'!$B$5+'Input data'!$B$7+(1+Income!AB$80)*'Input data'!$B$8*'Input data'!$E$46+'Input data'!$B$12+'Input data'!$B$17+'Input data'!$B$21)</f>
        <v>38375582.352662012</v>
      </c>
      <c r="L24" s="74">
        <f>Disability!AD$86*EXP('Input data'!$B$5+'Input data'!$B$7+(1+Income!AC$80)*'Input data'!$B$8*'Input data'!$E$46+'Input data'!$B$12+'Input data'!$B$17+'Input data'!$B$21)</f>
        <v>37832688.653928973</v>
      </c>
      <c r="M24" s="74">
        <f>Disability!AE$86*EXP('Input data'!$B$5+'Input data'!$B$7+(1+Income!AD$80)*'Input data'!$B$8*'Input data'!$E$46+'Input data'!$B$12+'Input data'!$B$17+'Input data'!$B$21)</f>
        <v>37329603.85180106</v>
      </c>
      <c r="N24" s="74">
        <f>Disability!AF$86*EXP('Input data'!$B$5+'Input data'!$B$7+(1+Income!AE$80)*'Input data'!$B$8*'Input data'!$E$46+'Input data'!$B$12+'Input data'!$B$17+'Input data'!$B$21)</f>
        <v>36788788.062147513</v>
      </c>
      <c r="O24" s="74">
        <f>Disability!AG$86*EXP('Input data'!$B$5+'Input data'!$B$7+(1+Income!AF$80)*'Input data'!$B$8*'Input data'!$E$46+'Input data'!$B$12+'Input data'!$B$17+'Input data'!$B$21)</f>
        <v>36255090.191468738</v>
      </c>
    </row>
    <row r="25" spans="1:15" ht="15" customHeight="1" x14ac:dyDescent="0.25">
      <c r="A25" s="59" t="s">
        <v>18</v>
      </c>
      <c r="B25" s="59" t="s">
        <v>13</v>
      </c>
      <c r="C25" s="59" t="s">
        <v>14</v>
      </c>
      <c r="D25" s="59" t="s">
        <v>1</v>
      </c>
      <c r="E25" s="74">
        <f>Disability!W$87*EXP('Input data'!$B$5+'Input data'!$B$7+(1+Income!V$81)*'Input data'!$B$8*'Input data'!$E$47+'Input data'!$B$12+'Input data'!$B$18+'Input data'!$B$21)</f>
        <v>93520139.639951557</v>
      </c>
      <c r="F25" s="74">
        <f>Disability!X$87*EXP('Input data'!$B$5+'Input data'!$B$7+(1+Income!W$81)*'Input data'!$B$8*'Input data'!$E$47+'Input data'!$B$12+'Input data'!$B$18+'Input data'!$B$21)</f>
        <v>93438241.147675306</v>
      </c>
      <c r="G25" s="74">
        <f>Disability!Y$87*EXP('Input data'!$B$5+'Input data'!$B$7+(1+Income!X$81)*'Input data'!$B$8*'Input data'!$E$47+'Input data'!$B$12+'Input data'!$B$18+'Input data'!$B$21)</f>
        <v>93700975.868628293</v>
      </c>
      <c r="H25" s="74">
        <f>Disability!Z$87*EXP('Input data'!$B$5+'Input data'!$B$7+(1+Income!Y$81)*'Input data'!$B$8*'Input data'!$E$47+'Input data'!$B$12+'Input data'!$B$18+'Input data'!$B$21)</f>
        <v>93963564.689343855</v>
      </c>
      <c r="I25" s="74">
        <f>Disability!AA$87*EXP('Input data'!$B$5+'Input data'!$B$7+(1+Income!Z$81)*'Input data'!$B$8*'Input data'!$E$47+'Input data'!$B$12+'Input data'!$B$18+'Input data'!$B$21)</f>
        <v>94226021.425984189</v>
      </c>
      <c r="J25" s="74">
        <f>Disability!AB$87*EXP('Input data'!$B$5+'Input data'!$B$7+(1+Income!AA$81)*'Input data'!$B$8*'Input data'!$E$47+'Input data'!$B$12+'Input data'!$B$18+'Input data'!$B$21)</f>
        <v>94334575.432200953</v>
      </c>
      <c r="K25" s="74">
        <f>Disability!AC$87*EXP('Input data'!$B$5+'Input data'!$B$7+(1+Income!AB$81)*'Input data'!$B$8*'Input data'!$E$47+'Input data'!$B$12+'Input data'!$B$18+'Input data'!$B$21)</f>
        <v>94724194.724960148</v>
      </c>
      <c r="L25" s="74">
        <f>Disability!AD$87*EXP('Input data'!$B$5+'Input data'!$B$7+(1+Income!AC$81)*'Input data'!$B$8*'Input data'!$E$47+'Input data'!$B$12+'Input data'!$B$18+'Input data'!$B$21)</f>
        <v>94982092.423207551</v>
      </c>
      <c r="M25" s="74">
        <f>Disability!AE$87*EXP('Input data'!$B$5+'Input data'!$B$7+(1+Income!AD$81)*'Input data'!$B$8*'Input data'!$E$47+'Input data'!$B$12+'Input data'!$B$18+'Input data'!$B$21)</f>
        <v>95252227.131745368</v>
      </c>
      <c r="N25" s="74">
        <f>Disability!AF$87*EXP('Input data'!$B$5+'Input data'!$B$7+(1+Income!AE$81)*'Input data'!$B$8*'Input data'!$E$47+'Input data'!$B$12+'Input data'!$B$18+'Input data'!$B$21)</f>
        <v>95498875.290104315</v>
      </c>
      <c r="O25" s="74">
        <f>Disability!AG$87*EXP('Input data'!$B$5+'Input data'!$B$7+(1+Income!AF$81)*'Input data'!$B$8*'Input data'!$E$47+'Input data'!$B$12+'Input data'!$B$18+'Input data'!$B$21)</f>
        <v>95736462.667426825</v>
      </c>
    </row>
    <row r="26" spans="1:15" ht="15" customHeight="1" x14ac:dyDescent="0.25">
      <c r="A26" s="59" t="s">
        <v>18</v>
      </c>
      <c r="B26" s="59" t="s">
        <v>13</v>
      </c>
      <c r="C26" s="59" t="s">
        <v>14</v>
      </c>
      <c r="D26" s="59" t="s">
        <v>2</v>
      </c>
      <c r="E26" s="74">
        <f>Disability!W$88*EXP('Input data'!$B$5+'Input data'!$B$7+(1+Income!V$82)*'Input data'!$B$8*'Input data'!$E$48+'Input data'!$B$12+'Input data'!$B$19+'Input data'!$B$21)</f>
        <v>141194546.81044409</v>
      </c>
      <c r="F26" s="74">
        <f>Disability!X$88*EXP('Input data'!$B$5+'Input data'!$B$7+(1+Income!W$82)*'Input data'!$B$8*'Input data'!$E$48+'Input data'!$B$12+'Input data'!$B$19+'Input data'!$B$21)</f>
        <v>139759312.76635626</v>
      </c>
      <c r="G26" s="74">
        <f>Disability!Y$88*EXP('Input data'!$B$5+'Input data'!$B$7+(1+Income!X$82)*'Input data'!$B$8*'Input data'!$E$48+'Input data'!$B$12+'Input data'!$B$19+'Input data'!$B$21)</f>
        <v>138510025.96807066</v>
      </c>
      <c r="H26" s="74">
        <f>Disability!Z$88*EXP('Input data'!$B$5+'Input data'!$B$7+(1+Income!Y$82)*'Input data'!$B$8*'Input data'!$E$48+'Input data'!$B$12+'Input data'!$B$19+'Input data'!$B$21)</f>
        <v>137260426.2623913</v>
      </c>
      <c r="I26" s="74">
        <f>Disability!AA$88*EXP('Input data'!$B$5+'Input data'!$B$7+(1+Income!Z$82)*'Input data'!$B$8*'Input data'!$E$48+'Input data'!$B$12+'Input data'!$B$19+'Input data'!$B$21)</f>
        <v>136010543.30307057</v>
      </c>
      <c r="J26" s="74">
        <f>Disability!AB$88*EXP('Input data'!$B$5+'Input data'!$B$7+(1+Income!AA$82)*'Input data'!$B$8*'Input data'!$E$48+'Input data'!$B$12+'Input data'!$B$19+'Input data'!$B$21)</f>
        <v>134458839.13699913</v>
      </c>
      <c r="K26" s="74">
        <f>Disability!AC$88*EXP('Input data'!$B$5+'Input data'!$B$7+(1+Income!AB$82)*'Input data'!$B$8*'Input data'!$E$48+'Input data'!$B$12+'Input data'!$B$19+'Input data'!$B$21)</f>
        <v>133454172.18121023</v>
      </c>
      <c r="L26" s="74">
        <f>Disability!AD$88*EXP('Input data'!$B$5+'Input data'!$B$7+(1+Income!AC$82)*'Input data'!$B$8*'Input data'!$E$48+'Input data'!$B$12+'Input data'!$B$19+'Input data'!$B$21)</f>
        <v>132227031.00242931</v>
      </c>
      <c r="M26" s="74">
        <f>Disability!AE$88*EXP('Input data'!$B$5+'Input data'!$B$7+(1+Income!AD$82)*'Input data'!$B$8*'Input data'!$E$48+'Input data'!$B$12+'Input data'!$B$19+'Input data'!$B$21)</f>
        <v>130990507.45089523</v>
      </c>
      <c r="N26" s="74">
        <f>Disability!AF$88*EXP('Input data'!$B$5+'Input data'!$B$7+(1+Income!AE$82)*'Input data'!$B$8*'Input data'!$E$48+'Input data'!$B$12+'Input data'!$B$19+'Input data'!$B$21)</f>
        <v>129728173.87157632</v>
      </c>
      <c r="O26" s="74">
        <f>Disability!AG$88*EXP('Input data'!$B$5+'Input data'!$B$7+(1+Income!AF$82)*'Input data'!$B$8*'Input data'!$E$48+'Input data'!$B$12+'Input data'!$B$19+'Input data'!$B$21)</f>
        <v>128470215.6012014</v>
      </c>
    </row>
    <row r="27" spans="1:15" ht="15" customHeight="1" x14ac:dyDescent="0.25">
      <c r="A27" s="59" t="s">
        <v>19</v>
      </c>
      <c r="B27" s="59" t="s">
        <v>11</v>
      </c>
      <c r="C27" s="59" t="s">
        <v>14</v>
      </c>
      <c r="D27" s="59" t="s">
        <v>0</v>
      </c>
      <c r="E27" s="74">
        <f>Disability!W$89*EXP('Input data'!$B$4+'Input data'!$B$7+(1+Income!V$77)*'Input data'!$B$8*'Input data'!$E$49+'Input data'!$B$13+'Input data'!$B$17+'Input data'!$B$21)</f>
        <v>9096278.6466018483</v>
      </c>
      <c r="F27" s="74">
        <f>Disability!X$89*EXP('Input data'!$B$4+'Input data'!$B$7+(1+Income!W$77)*'Input data'!$B$8*'Input data'!$E$49+'Input data'!$B$13+'Input data'!$B$17+'Input data'!$B$21)</f>
        <v>9366415.0970480703</v>
      </c>
      <c r="G27" s="74">
        <f>Disability!Y$89*EXP('Input data'!$B$4+'Input data'!$B$7+(1+Income!X$77)*'Input data'!$B$8*'Input data'!$E$49+'Input data'!$B$13+'Input data'!$B$17+'Input data'!$B$21)</f>
        <v>9648425.5050660111</v>
      </c>
      <c r="H27" s="74">
        <f>Disability!Z$89*EXP('Input data'!$B$4+'Input data'!$B$7+(1+Income!Y$77)*'Input data'!$B$8*'Input data'!$E$49+'Input data'!$B$13+'Input data'!$B$17+'Input data'!$B$21)</f>
        <v>9930432.8808035105</v>
      </c>
      <c r="I27" s="74">
        <f>Disability!AA$89*EXP('Input data'!$B$4+'Input data'!$B$7+(1+Income!Z$77)*'Input data'!$B$8*'Input data'!$E$49+'Input data'!$B$13+'Input data'!$B$17+'Input data'!$B$21)</f>
        <v>10212437.50744633</v>
      </c>
      <c r="J27" s="74">
        <f>Disability!AB$89*EXP('Input data'!$B$4+'Input data'!$B$7+(1+Income!AA$77)*'Input data'!$B$8*'Input data'!$E$49+'Input data'!$B$13+'Input data'!$B$17+'Input data'!$B$21)</f>
        <v>10469713.360402545</v>
      </c>
      <c r="K27" s="74">
        <f>Disability!AC$89*EXP('Input data'!$B$4+'Input data'!$B$7+(1+Income!AB$77)*'Input data'!$B$8*'Input data'!$E$49+'Input data'!$B$13+'Input data'!$B$17+'Input data'!$B$21)</f>
        <v>10776248.106150011</v>
      </c>
      <c r="L27" s="74">
        <f>Disability!AD$89*EXP('Input data'!$B$4+'Input data'!$B$7+(1+Income!AC$77)*'Input data'!$B$8*'Input data'!$E$49+'Input data'!$B$13+'Input data'!$B$17+'Input data'!$B$21)</f>
        <v>11054080.543104112</v>
      </c>
      <c r="M27" s="74">
        <f>Disability!AE$89*EXP('Input data'!$B$4+'Input data'!$B$7+(1+Income!AD$77)*'Input data'!$B$8*'Input data'!$E$49+'Input data'!$B$13+'Input data'!$B$17+'Input data'!$B$21)</f>
        <v>11343276.173225356</v>
      </c>
      <c r="N27" s="74">
        <f>Disability!AF$89*EXP('Input data'!$B$4+'Input data'!$B$7+(1+Income!AE$77)*'Input data'!$B$8*'Input data'!$E$49+'Input data'!$B$13+'Input data'!$B$17+'Input data'!$B$21)</f>
        <v>11620083.559139589</v>
      </c>
      <c r="O27" s="74">
        <f>Disability!AG$89*EXP('Input data'!$B$4+'Input data'!$B$7+(1+Income!AF$77)*'Input data'!$B$8*'Input data'!$E$49+'Input data'!$B$13+'Input data'!$B$17+'Input data'!$B$21)</f>
        <v>11901377.019924253</v>
      </c>
    </row>
    <row r="28" spans="1:15" ht="15" customHeight="1" x14ac:dyDescent="0.25">
      <c r="A28" s="59" t="s">
        <v>19</v>
      </c>
      <c r="B28" s="59" t="s">
        <v>11</v>
      </c>
      <c r="C28" s="59" t="s">
        <v>14</v>
      </c>
      <c r="D28" s="59" t="s">
        <v>1</v>
      </c>
      <c r="E28" s="74">
        <f>Disability!W$90*EXP('Input data'!$B$4+'Input data'!$B$7+(1+Income!V$78)*'Input data'!$B$8*'Input data'!$E$50+'Input data'!$B$13+'Input data'!$B$18+'Input data'!$B$21)</f>
        <v>16782253.595801979</v>
      </c>
      <c r="F28" s="74">
        <f>Disability!X$90*EXP('Input data'!$B$4+'Input data'!$B$7+(1+Income!W$78)*'Input data'!$B$8*'Input data'!$E$50+'Input data'!$B$13+'Input data'!$B$18+'Input data'!$B$21)</f>
        <v>17312687.032666262</v>
      </c>
      <c r="G28" s="74">
        <f>Disability!Y$90*EXP('Input data'!$B$4+'Input data'!$B$7+(1+Income!X$78)*'Input data'!$B$8*'Input data'!$E$50+'Input data'!$B$13+'Input data'!$B$18+'Input data'!$B$21)</f>
        <v>17909120.870183263</v>
      </c>
      <c r="H28" s="74">
        <f>Disability!Z$90*EXP('Input data'!$B$4+'Input data'!$B$7+(1+Income!Y$78)*'Input data'!$B$8*'Input data'!$E$50+'Input data'!$B$13+'Input data'!$B$18+'Input data'!$B$21)</f>
        <v>18505552.988705035</v>
      </c>
      <c r="I28" s="74">
        <f>Disability!AA$90*EXP('Input data'!$B$4+'Input data'!$B$7+(1+Income!Z$78)*'Input data'!$B$8*'Input data'!$E$50+'Input data'!$B$13+'Input data'!$B$18+'Input data'!$B$21)</f>
        <v>19101983.55610732</v>
      </c>
      <c r="J28" s="74">
        <f>Disability!AB$90*EXP('Input data'!$B$4+'Input data'!$B$7+(1+Income!AA$78)*'Input data'!$B$8*'Input data'!$E$50+'Input data'!$B$13+'Input data'!$B$18+'Input data'!$B$21)</f>
        <v>19664866.102936365</v>
      </c>
      <c r="K28" s="74">
        <f>Disability!AC$90*EXP('Input data'!$B$4+'Input data'!$B$7+(1+Income!AB$78)*'Input data'!$B$8*'Input data'!$E$50+'Input data'!$B$13+'Input data'!$B$18+'Input data'!$B$21)</f>
        <v>20286046.123570066</v>
      </c>
      <c r="L28" s="74">
        <f>Disability!AD$90*EXP('Input data'!$B$4+'Input data'!$B$7+(1+Income!AC$78)*'Input data'!$B$8*'Input data'!$E$50+'Input data'!$B$13+'Input data'!$B$18+'Input data'!$B$21)</f>
        <v>20880449.617119811</v>
      </c>
      <c r="M28" s="74">
        <f>Disability!AE$90*EXP('Input data'!$B$4+'Input data'!$B$7+(1+Income!AD$78)*'Input data'!$B$8*'Input data'!$E$50+'Input data'!$B$13+'Input data'!$B$18+'Input data'!$B$21)</f>
        <v>21482751.174578253</v>
      </c>
      <c r="N28" s="74">
        <f>Disability!AF$90*EXP('Input data'!$B$4+'Input data'!$B$7+(1+Income!AE$78)*'Input data'!$B$8*'Input data'!$E$50+'Input data'!$B$13+'Input data'!$B$18+'Input data'!$B$21)</f>
        <v>22076304.140310016</v>
      </c>
      <c r="O28" s="74">
        <f>Disability!AG$90*EXP('Input data'!$B$4+'Input data'!$B$7+(1+Income!AF$78)*'Input data'!$B$8*'Input data'!$E$50+'Input data'!$B$13+'Input data'!$B$18+'Input data'!$B$21)</f>
        <v>22664958.876194216</v>
      </c>
    </row>
    <row r="29" spans="1:15" ht="15" customHeight="1" x14ac:dyDescent="0.25">
      <c r="A29" s="59" t="s">
        <v>19</v>
      </c>
      <c r="B29" s="59" t="s">
        <v>11</v>
      </c>
      <c r="C29" s="59" t="s">
        <v>14</v>
      </c>
      <c r="D29" s="59" t="s">
        <v>2</v>
      </c>
      <c r="E29" s="74">
        <f>Disability!W$91*EXP('Input data'!$B$4+'Input data'!$B$7+(1+Income!V$79)*'Input data'!$B$8*'Input data'!$E$51+'Input data'!$B$13+'Input data'!$B$19+'Input data'!$B$21)</f>
        <v>29485487.401004937</v>
      </c>
      <c r="F29" s="74">
        <f>Disability!X$91*EXP('Input data'!$B$4+'Input data'!$B$7+(1+Income!W$79)*'Input data'!$B$8*'Input data'!$E$51+'Input data'!$B$13+'Input data'!$B$19+'Input data'!$B$21)</f>
        <v>30157508.727985643</v>
      </c>
      <c r="G29" s="74">
        <f>Disability!Y$91*EXP('Input data'!$B$4+'Input data'!$B$7+(1+Income!X$79)*'Input data'!$B$8*'Input data'!$E$51+'Input data'!$B$13+'Input data'!$B$19+'Input data'!$B$21)</f>
        <v>30805872.471659623</v>
      </c>
      <c r="H29" s="74">
        <f>Disability!Z$91*EXP('Input data'!$B$4+'Input data'!$B$7+(1+Income!Y$79)*'Input data'!$B$8*'Input data'!$E$51+'Input data'!$B$13+'Input data'!$B$19+'Input data'!$B$21)</f>
        <v>31454215.0388042</v>
      </c>
      <c r="I29" s="74">
        <f>Disability!AA$91*EXP('Input data'!$B$4+'Input data'!$B$7+(1+Income!Z$79)*'Input data'!$B$8*'Input data'!$E$51+'Input data'!$B$13+'Input data'!$B$19+'Input data'!$B$21)</f>
        <v>32102538.4315698</v>
      </c>
      <c r="J29" s="74">
        <f>Disability!AB$91*EXP('Input data'!$B$4+'Input data'!$B$7+(1+Income!AA$79)*'Input data'!$B$8*'Input data'!$E$51+'Input data'!$B$13+'Input data'!$B$19+'Input data'!$B$21)</f>
        <v>32644180.200818345</v>
      </c>
      <c r="K29" s="74">
        <f>Disability!AC$91*EXP('Input data'!$B$4+'Input data'!$B$7+(1+Income!AB$79)*'Input data'!$B$8*'Input data'!$E$51+'Input data'!$B$13+'Input data'!$B$19+'Input data'!$B$21)</f>
        <v>33381577.396262519</v>
      </c>
      <c r="L29" s="74">
        <f>Disability!AD$91*EXP('Input data'!$B$4+'Input data'!$B$7+(1+Income!AC$79)*'Input data'!$B$8*'Input data'!$E$51+'Input data'!$B$13+'Input data'!$B$19+'Input data'!$B$21)</f>
        <v>34038529.311092839</v>
      </c>
      <c r="M29" s="74">
        <f>Disability!AE$91*EXP('Input data'!$B$4+'Input data'!$B$7+(1+Income!AD$79)*'Input data'!$B$8*'Input data'!$E$51+'Input data'!$B$13+'Input data'!$B$19+'Input data'!$B$21)</f>
        <v>34692043.807561904</v>
      </c>
      <c r="N29" s="74">
        <f>Disability!AF$91*EXP('Input data'!$B$4+'Input data'!$B$7+(1+Income!AE$79)*'Input data'!$B$8*'Input data'!$E$51+'Input data'!$B$13+'Input data'!$B$19+'Input data'!$B$21)</f>
        <v>35342770.581841856</v>
      </c>
      <c r="O29" s="74">
        <f>Disability!AG$91*EXP('Input data'!$B$4+'Input data'!$B$7+(1+Income!AF$79)*'Input data'!$B$8*'Input data'!$E$51+'Input data'!$B$13+'Input data'!$B$19+'Input data'!$B$21)</f>
        <v>35990189.698948659</v>
      </c>
    </row>
    <row r="30" spans="1:15" ht="15" customHeight="1" x14ac:dyDescent="0.25">
      <c r="A30" s="59" t="s">
        <v>19</v>
      </c>
      <c r="B30" s="59" t="s">
        <v>13</v>
      </c>
      <c r="C30" s="59" t="s">
        <v>14</v>
      </c>
      <c r="D30" s="59" t="s">
        <v>0</v>
      </c>
      <c r="E30" s="74">
        <f>Disability!W$92*EXP('Input data'!$B$5+'Input data'!$B$7+(1+Income!V$80)*'Input data'!$B$8*'Input data'!$E$52+'Input data'!$B$13+'Input data'!$B$17+'Input data'!$B$21)</f>
        <v>31646271.822138645</v>
      </c>
      <c r="F30" s="74">
        <f>Disability!X$92*EXP('Input data'!$B$5+'Input data'!$B$7+(1+Income!W$80)*'Input data'!$B$8*'Input data'!$E$52+'Input data'!$B$13+'Input data'!$B$17+'Input data'!$B$21)</f>
        <v>32464160.680464908</v>
      </c>
      <c r="G30" s="74">
        <f>Disability!Y$92*EXP('Input data'!$B$5+'Input data'!$B$7+(1+Income!X$80)*'Input data'!$B$8*'Input data'!$E$52+'Input data'!$B$13+'Input data'!$B$17+'Input data'!$B$21)</f>
        <v>33317308.880206913</v>
      </c>
      <c r="H30" s="74">
        <f>Disability!Z$92*EXP('Input data'!$B$5+'Input data'!$B$7+(1+Income!Y$80)*'Input data'!$B$8*'Input data'!$E$52+'Input data'!$B$13+'Input data'!$B$17+'Input data'!$B$21)</f>
        <v>34170441.143723793</v>
      </c>
      <c r="I30" s="74">
        <f>Disability!AA$92*EXP('Input data'!$B$5+'Input data'!$B$7+(1+Income!Z$80)*'Input data'!$B$8*'Input data'!$E$52+'Input data'!$B$13+'Input data'!$B$17+'Input data'!$B$21)</f>
        <v>35023558.991805173</v>
      </c>
      <c r="J30" s="74">
        <f>Disability!AB$92*EXP('Input data'!$B$5+'Input data'!$B$7+(1+Income!AA$80)*'Input data'!$B$8*'Input data'!$E$52+'Input data'!$B$13+'Input data'!$B$17+'Input data'!$B$21)</f>
        <v>35815327.971445397</v>
      </c>
      <c r="K30" s="74">
        <f>Disability!AC$92*EXP('Input data'!$B$5+'Input data'!$B$7+(1+Income!AB$80)*'Input data'!$B$8*'Input data'!$E$52+'Input data'!$B$13+'Input data'!$B$17+'Input data'!$B$21)</f>
        <v>36729572.00407096</v>
      </c>
      <c r="L30" s="74">
        <f>Disability!AD$92*EXP('Input data'!$B$5+'Input data'!$B$7+(1+Income!AC$80)*'Input data'!$B$8*'Input data'!$E$52+'Input data'!$B$13+'Input data'!$B$17+'Input data'!$B$21)</f>
        <v>37572289.47889854</v>
      </c>
      <c r="M30" s="74">
        <f>Disability!AE$92*EXP('Input data'!$B$5+'Input data'!$B$7+(1+Income!AD$80)*'Input data'!$B$8*'Input data'!$E$52+'Input data'!$B$13+'Input data'!$B$17+'Input data'!$B$21)</f>
        <v>38441633.60425698</v>
      </c>
      <c r="N30" s="74">
        <f>Disability!AF$92*EXP('Input data'!$B$5+'Input data'!$B$7+(1+Income!AE$80)*'Input data'!$B$8*'Input data'!$E$52+'Input data'!$B$13+'Input data'!$B$17+'Input data'!$B$21)</f>
        <v>39285388.223815948</v>
      </c>
      <c r="O30" s="74">
        <f>Disability!AG$92*EXP('Input data'!$B$5+'Input data'!$B$7+(1+Income!AF$80)*'Input data'!$B$8*'Input data'!$E$52+'Input data'!$B$13+'Input data'!$B$17+'Input data'!$B$21)</f>
        <v>40133760.136798359</v>
      </c>
    </row>
    <row r="31" spans="1:15" ht="15" customHeight="1" x14ac:dyDescent="0.25">
      <c r="A31" s="59" t="s">
        <v>19</v>
      </c>
      <c r="B31" s="59" t="s">
        <v>13</v>
      </c>
      <c r="C31" s="59" t="s">
        <v>14</v>
      </c>
      <c r="D31" s="59" t="s">
        <v>1</v>
      </c>
      <c r="E31" s="74">
        <f>Disability!W$93*EXP('Input data'!$B$5+'Input data'!$B$7+(1+Income!V$81)*'Input data'!$B$8*'Input data'!$E$53+'Input data'!$B$13+'Input data'!$B$18+'Input data'!$B$21)</f>
        <v>53223727.014414482</v>
      </c>
      <c r="F31" s="74">
        <f>Disability!X$93*EXP('Input data'!$B$5+'Input data'!$B$7+(1+Income!W$81)*'Input data'!$B$8*'Input data'!$E$53+'Input data'!$B$13+'Input data'!$B$18+'Input data'!$B$21)</f>
        <v>54569021.041774645</v>
      </c>
      <c r="G31" s="74">
        <f>Disability!Y$93*EXP('Input data'!$B$5+'Input data'!$B$7+(1+Income!X$81)*'Input data'!$B$8*'Input data'!$E$53+'Input data'!$B$13+'Input data'!$B$18+'Input data'!$B$21)</f>
        <v>56044762.888009951</v>
      </c>
      <c r="H31" s="74">
        <f>Disability!Z$93*EXP('Input data'!$B$5+'Input data'!$B$7+(1+Income!Y$81)*'Input data'!$B$8*'Input data'!$E$53+'Input data'!$B$13+'Input data'!$B$18+'Input data'!$B$21)</f>
        <v>57520490.888568498</v>
      </c>
      <c r="I31" s="74">
        <f>Disability!AA$93*EXP('Input data'!$B$5+'Input data'!$B$7+(1+Income!Z$81)*'Input data'!$B$8*'Input data'!$E$53+'Input data'!$B$13+'Input data'!$B$18+'Input data'!$B$21)</f>
        <v>58996206.354734793</v>
      </c>
      <c r="J31" s="74">
        <f>Disability!AB$93*EXP('Input data'!$B$5+'Input data'!$B$7+(1+Income!AA$81)*'Input data'!$B$8*'Input data'!$E$53+'Input data'!$B$13+'Input data'!$B$18+'Input data'!$B$21)</f>
        <v>60406498.104618505</v>
      </c>
      <c r="K31" s="74">
        <f>Disability!AC$93*EXP('Input data'!$B$5+'Input data'!$B$7+(1+Income!AB$81)*'Input data'!$B$8*'Input data'!$E$53+'Input data'!$B$13+'Input data'!$B$18+'Input data'!$B$21)</f>
        <v>61936139.08918459</v>
      </c>
      <c r="L31" s="74">
        <f>Disability!AD$93*EXP('Input data'!$B$5+'Input data'!$B$7+(1+Income!AC$81)*'Input data'!$B$8*'Input data'!$E$53+'Input data'!$B$13+'Input data'!$B$18+'Input data'!$B$21)</f>
        <v>63409706.278286435</v>
      </c>
      <c r="M31" s="74">
        <f>Disability!AE$93*EXP('Input data'!$B$5+'Input data'!$B$7+(1+Income!AD$81)*'Input data'!$B$8*'Input data'!$E$53+'Input data'!$B$13+'Input data'!$B$18+'Input data'!$B$21)</f>
        <v>64888769.784448557</v>
      </c>
      <c r="N31" s="74">
        <f>Disability!AF$93*EXP('Input data'!$B$5+'Input data'!$B$7+(1+Income!AE$81)*'Input data'!$B$8*'Input data'!$E$53+'Input data'!$B$13+'Input data'!$B$18+'Input data'!$B$21)</f>
        <v>66357168.644132055</v>
      </c>
      <c r="O31" s="74">
        <f>Disability!AG$93*EXP('Input data'!$B$5+'Input data'!$B$7+(1+Income!AF$81)*'Input data'!$B$8*'Input data'!$E$53+'Input data'!$B$13+'Input data'!$B$18+'Input data'!$B$21)</f>
        <v>67821057.732896224</v>
      </c>
    </row>
    <row r="32" spans="1:15" ht="15" customHeight="1" x14ac:dyDescent="0.25">
      <c r="A32" s="59" t="s">
        <v>19</v>
      </c>
      <c r="B32" s="59" t="s">
        <v>13</v>
      </c>
      <c r="C32" s="59" t="s">
        <v>14</v>
      </c>
      <c r="D32" s="59" t="s">
        <v>2</v>
      </c>
      <c r="E32" s="74">
        <f>Disability!W$94*EXP('Input data'!$B$5+'Input data'!$B$7+(1+Income!V$82)*'Input data'!$B$8*'Input data'!$E$54+'Input data'!$B$13+'Input data'!$B$19+'Input data'!$B$21)</f>
        <v>95575538.83281675</v>
      </c>
      <c r="F32" s="74">
        <f>Disability!X$94*EXP('Input data'!$B$5+'Input data'!$B$7+(1+Income!W$82)*'Input data'!$B$8*'Input data'!$E$54+'Input data'!$B$13+'Input data'!$B$19+'Input data'!$B$21)</f>
        <v>97826980.763878018</v>
      </c>
      <c r="G32" s="74">
        <f>Disability!Y$94*EXP('Input data'!$B$5+'Input data'!$B$7+(1+Income!X$82)*'Input data'!$B$8*'Input data'!$E$54+'Input data'!$B$13+'Input data'!$B$19+'Input data'!$B$21)</f>
        <v>100159844.11440779</v>
      </c>
      <c r="H32" s="74">
        <f>Disability!Z$94*EXP('Input data'!$B$5+'Input data'!$B$7+(1+Income!Y$82)*'Input data'!$B$8*'Input data'!$E$54+'Input data'!$B$13+'Input data'!$B$19+'Input data'!$B$21)</f>
        <v>102492671.75636011</v>
      </c>
      <c r="I32" s="74">
        <f>Disability!AA$94*EXP('Input data'!$B$5+'Input data'!$B$7+(1+Income!Z$82)*'Input data'!$B$8*'Input data'!$E$54+'Input data'!$B$13+'Input data'!$B$19+'Input data'!$B$21)</f>
        <v>104825467.07422198</v>
      </c>
      <c r="J32" s="74">
        <f>Disability!AB$94*EXP('Input data'!$B$5+'Input data'!$B$7+(1+Income!AA$82)*'Input data'!$B$8*'Input data'!$E$54+'Input data'!$B$13+'Input data'!$B$19+'Input data'!$B$21)</f>
        <v>107003303.13585505</v>
      </c>
      <c r="K32" s="74">
        <f>Disability!AC$94*EXP('Input data'!$B$5+'Input data'!$B$7+(1+Income!AB$82)*'Input data'!$B$8*'Input data'!$E$54+'Input data'!$B$13+'Input data'!$B$19+'Input data'!$B$21)</f>
        <v>109461386.00015178</v>
      </c>
      <c r="L32" s="74">
        <f>Disability!AD$94*EXP('Input data'!$B$5+'Input data'!$B$7+(1+Income!AC$82)*'Input data'!$B$8*'Input data'!$E$54+'Input data'!$B$13+'Input data'!$B$19+'Input data'!$B$21)</f>
        <v>111805989.51425293</v>
      </c>
      <c r="M32" s="74">
        <f>Disability!AE$94*EXP('Input data'!$B$5+'Input data'!$B$7+(1+Income!AD$82)*'Input data'!$B$8*'Input data'!$E$54+'Input data'!$B$13+'Input data'!$B$19+'Input data'!$B$21)</f>
        <v>114146166.2808433</v>
      </c>
      <c r="N32" s="74">
        <f>Disability!AF$94*EXP('Input data'!$B$5+'Input data'!$B$7+(1+Income!AE$82)*'Input data'!$B$8*'Input data'!$E$54+'Input data'!$B$13+'Input data'!$B$19+'Input data'!$B$21)</f>
        <v>116471936.87463698</v>
      </c>
      <c r="O32" s="74">
        <f>Disability!AG$94*EXP('Input data'!$B$5+'Input data'!$B$7+(1+Income!AF$82)*'Input data'!$B$8*'Input data'!$E$54+'Input data'!$B$13+'Input data'!$B$19+'Input data'!$B$21)</f>
        <v>118799999.33156185</v>
      </c>
    </row>
  </sheetData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Content</vt:lpstr>
      <vt:lpstr>Error checking</vt:lpstr>
      <vt:lpstr>FORECASTS &gt;&gt;&gt;</vt:lpstr>
      <vt:lpstr>Population</vt:lpstr>
      <vt:lpstr>Disability</vt:lpstr>
      <vt:lpstr>Income</vt:lpstr>
      <vt:lpstr>CALCULATIONS&gt;&gt;&gt; </vt:lpstr>
      <vt:lpstr>Input data</vt:lpstr>
      <vt:lpstr>Eurostat data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Hans Gevers, Estonian Business School, Department Research, Development &amp; PhD Studies, hans.gevers@ebs.ee, https://orcid.org/0009-0001-0249-4142</dc:title>
  <dc:creator>Hans Gevers</dc:creator>
  <cp:keywords>Financial Sustainability of the Care for the Disabled: A Simulation of Benefits for Older People in the Baltic States up to 2036 with data from SHARE and Eurostat</cp:keywords>
  <cp:lastModifiedBy>Hans Gevers</cp:lastModifiedBy>
  <dcterms:created xsi:type="dcterms:W3CDTF">2026-08-22T12:48:42Z</dcterms:created>
  <dcterms:modified xsi:type="dcterms:W3CDTF">2026-08-26T10:34:03Z</dcterms:modified>
</cp:coreProperties>
</file>