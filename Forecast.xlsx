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g\Downloads\simulating Estonia's disability benefits\"/>
    </mc:Choice>
  </mc:AlternateContent>
  <xr:revisionPtr revIDLastSave="0" documentId="13_ncr:1_{5D1A661C-F189-4FFA-A92C-6D8F2570EBD2}" xr6:coauthVersionLast="47" xr6:coauthVersionMax="47" xr10:uidLastSave="{00000000-0000-0000-0000-000000000000}"/>
  <bookViews>
    <workbookView xWindow="-120" yWindow="-120" windowWidth="29040" windowHeight="15720" xr2:uid="{DD5C5887-039C-4CD1-BF7B-4A57F0732366}"/>
  </bookViews>
  <sheets>
    <sheet name="Cover" sheetId="2" r:id="rId1"/>
    <sheet name="Eurostat data forecast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31" i="1" l="1"/>
  <c r="E301" i="1"/>
  <c r="E271" i="1"/>
  <c r="E241" i="1"/>
  <c r="E211" i="1"/>
  <c r="E181" i="1"/>
  <c r="E151" i="1"/>
  <c r="E121" i="1"/>
  <c r="E91" i="1"/>
  <c r="E61" i="1"/>
  <c r="E31" i="1"/>
  <c r="E330" i="1"/>
  <c r="E300" i="1"/>
  <c r="E270" i="1"/>
  <c r="E240" i="1"/>
  <c r="E210" i="1"/>
  <c r="E180" i="1"/>
  <c r="E150" i="1"/>
  <c r="E120" i="1"/>
  <c r="E90" i="1"/>
  <c r="E60" i="1"/>
  <c r="E30" i="1"/>
  <c r="E329" i="1"/>
  <c r="E299" i="1"/>
  <c r="E269" i="1"/>
  <c r="E239" i="1"/>
  <c r="E209" i="1"/>
  <c r="E179" i="1"/>
  <c r="E149" i="1"/>
  <c r="E119" i="1"/>
  <c r="E89" i="1"/>
  <c r="E59" i="1"/>
  <c r="E29" i="1"/>
  <c r="E328" i="1"/>
  <c r="E298" i="1"/>
  <c r="E268" i="1"/>
  <c r="E238" i="1"/>
  <c r="E208" i="1"/>
  <c r="E178" i="1"/>
  <c r="E148" i="1"/>
  <c r="E118" i="1"/>
  <c r="E88" i="1"/>
  <c r="E58" i="1"/>
  <c r="E28" i="1"/>
  <c r="E327" i="1"/>
  <c r="E297" i="1"/>
  <c r="E267" i="1"/>
  <c r="E237" i="1"/>
  <c r="E207" i="1"/>
  <c r="E177" i="1"/>
  <c r="E147" i="1"/>
  <c r="E117" i="1"/>
  <c r="E87" i="1"/>
  <c r="E57" i="1"/>
  <c r="E27" i="1"/>
  <c r="E326" i="1"/>
  <c r="E296" i="1"/>
  <c r="E266" i="1"/>
  <c r="E236" i="1"/>
  <c r="E206" i="1"/>
  <c r="E176" i="1"/>
  <c r="E146" i="1"/>
  <c r="E116" i="1"/>
  <c r="E86" i="1"/>
  <c r="E56" i="1"/>
  <c r="E26" i="1"/>
  <c r="E325" i="1"/>
  <c r="E295" i="1"/>
  <c r="E265" i="1"/>
  <c r="E235" i="1"/>
  <c r="E205" i="1"/>
  <c r="E175" i="1"/>
  <c r="E145" i="1"/>
  <c r="E115" i="1"/>
  <c r="E85" i="1"/>
  <c r="E55" i="1"/>
  <c r="E25" i="1"/>
  <c r="E324" i="1"/>
  <c r="E294" i="1"/>
  <c r="E264" i="1"/>
  <c r="E234" i="1"/>
  <c r="E204" i="1"/>
  <c r="E174" i="1"/>
  <c r="E144" i="1"/>
  <c r="E114" i="1"/>
  <c r="E84" i="1"/>
  <c r="E54" i="1"/>
  <c r="E24" i="1"/>
  <c r="E323" i="1"/>
  <c r="E293" i="1"/>
  <c r="E263" i="1"/>
  <c r="E233" i="1"/>
  <c r="E203" i="1"/>
  <c r="E173" i="1"/>
  <c r="E143" i="1"/>
  <c r="E113" i="1"/>
  <c r="E83" i="1"/>
  <c r="E53" i="1"/>
  <c r="E23" i="1"/>
  <c r="E322" i="1"/>
  <c r="E292" i="1"/>
  <c r="E262" i="1"/>
  <c r="E232" i="1"/>
  <c r="E202" i="1"/>
  <c r="E172" i="1"/>
  <c r="E142" i="1"/>
  <c r="E112" i="1"/>
  <c r="E82" i="1"/>
  <c r="E52" i="1"/>
  <c r="E22" i="1"/>
  <c r="E321" i="1"/>
  <c r="E291" i="1"/>
  <c r="E261" i="1"/>
  <c r="E231" i="1"/>
  <c r="E201" i="1"/>
  <c r="E171" i="1"/>
  <c r="E141" i="1"/>
  <c r="E111" i="1"/>
  <c r="E81" i="1"/>
  <c r="E51" i="1"/>
  <c r="E21" i="1"/>
  <c r="E320" i="1"/>
  <c r="E290" i="1"/>
  <c r="E260" i="1"/>
  <c r="E230" i="1"/>
  <c r="E200" i="1"/>
  <c r="E170" i="1"/>
  <c r="E140" i="1"/>
  <c r="E110" i="1"/>
  <c r="E80" i="1"/>
  <c r="E50" i="1"/>
  <c r="E20" i="1"/>
  <c r="E319" i="1"/>
  <c r="E289" i="1"/>
  <c r="E259" i="1"/>
  <c r="E229" i="1"/>
  <c r="E199" i="1"/>
  <c r="E169" i="1"/>
  <c r="E139" i="1"/>
  <c r="E109" i="1"/>
  <c r="E79" i="1"/>
  <c r="E49" i="1"/>
  <c r="E19" i="1"/>
  <c r="E318" i="1"/>
  <c r="E288" i="1"/>
  <c r="E258" i="1"/>
  <c r="E228" i="1"/>
  <c r="E198" i="1"/>
  <c r="E168" i="1"/>
  <c r="E138" i="1"/>
  <c r="E108" i="1"/>
  <c r="E78" i="1"/>
  <c r="E48" i="1"/>
  <c r="E18" i="1"/>
  <c r="E317" i="1"/>
  <c r="E287" i="1"/>
  <c r="E257" i="1"/>
  <c r="E227" i="1"/>
  <c r="E197" i="1"/>
  <c r="E167" i="1"/>
  <c r="E137" i="1"/>
  <c r="E107" i="1"/>
  <c r="E77" i="1"/>
  <c r="E47" i="1"/>
  <c r="E17" i="1"/>
  <c r="E316" i="1"/>
  <c r="E286" i="1"/>
  <c r="E256" i="1"/>
  <c r="E226" i="1"/>
  <c r="E196" i="1"/>
  <c r="E166" i="1"/>
  <c r="E136" i="1"/>
  <c r="E106" i="1"/>
  <c r="E76" i="1"/>
  <c r="E46" i="1"/>
  <c r="E16" i="1"/>
  <c r="E315" i="1"/>
  <c r="E285" i="1"/>
  <c r="E255" i="1"/>
  <c r="E225" i="1"/>
  <c r="E195" i="1"/>
  <c r="E165" i="1"/>
  <c r="E135" i="1"/>
  <c r="E105" i="1"/>
  <c r="E75" i="1"/>
  <c r="E45" i="1"/>
  <c r="E15" i="1"/>
  <c r="E314" i="1"/>
  <c r="E284" i="1"/>
  <c r="E254" i="1"/>
  <c r="E224" i="1"/>
  <c r="E194" i="1"/>
  <c r="E164" i="1"/>
  <c r="E134" i="1"/>
  <c r="E104" i="1"/>
  <c r="E74" i="1"/>
  <c r="E44" i="1"/>
  <c r="E14" i="1"/>
  <c r="E313" i="1"/>
  <c r="E283" i="1"/>
  <c r="E253" i="1"/>
  <c r="E223" i="1"/>
  <c r="E193" i="1"/>
  <c r="E163" i="1"/>
  <c r="E133" i="1"/>
  <c r="E103" i="1"/>
  <c r="E73" i="1"/>
  <c r="E43" i="1"/>
  <c r="E13" i="1"/>
  <c r="E312" i="1"/>
  <c r="E282" i="1"/>
  <c r="E252" i="1"/>
  <c r="E222" i="1"/>
  <c r="E192" i="1"/>
  <c r="E162" i="1"/>
  <c r="E132" i="1"/>
  <c r="E102" i="1"/>
  <c r="E72" i="1"/>
  <c r="E42" i="1"/>
  <c r="E12" i="1"/>
  <c r="E311" i="1"/>
  <c r="E281" i="1"/>
  <c r="E251" i="1"/>
  <c r="E221" i="1"/>
  <c r="E191" i="1"/>
  <c r="E161" i="1"/>
  <c r="E131" i="1"/>
  <c r="E101" i="1"/>
  <c r="E71" i="1"/>
  <c r="E41" i="1"/>
  <c r="E11" i="1"/>
  <c r="E310" i="1"/>
  <c r="E280" i="1"/>
  <c r="E250" i="1"/>
  <c r="E220" i="1"/>
  <c r="E190" i="1"/>
  <c r="E160" i="1"/>
  <c r="E130" i="1"/>
  <c r="E100" i="1"/>
  <c r="E70" i="1"/>
  <c r="E40" i="1"/>
  <c r="E10" i="1"/>
  <c r="E309" i="1"/>
  <c r="E279" i="1"/>
  <c r="E249" i="1"/>
  <c r="E219" i="1"/>
  <c r="E189" i="1"/>
  <c r="E159" i="1"/>
  <c r="E129" i="1"/>
  <c r="E99" i="1"/>
  <c r="E69" i="1"/>
  <c r="E39" i="1"/>
  <c r="E9" i="1"/>
  <c r="E308" i="1"/>
  <c r="E278" i="1"/>
  <c r="E248" i="1"/>
  <c r="E218" i="1"/>
  <c r="E188" i="1"/>
  <c r="E158" i="1"/>
  <c r="E128" i="1"/>
  <c r="E98" i="1"/>
  <c r="E68" i="1"/>
  <c r="E38" i="1"/>
  <c r="E8" i="1"/>
  <c r="E307" i="1"/>
  <c r="E277" i="1"/>
  <c r="E247" i="1"/>
  <c r="E217" i="1"/>
  <c r="E187" i="1"/>
  <c r="E157" i="1"/>
  <c r="E127" i="1"/>
  <c r="E97" i="1"/>
  <c r="E67" i="1"/>
  <c r="E37" i="1"/>
  <c r="E7" i="1"/>
  <c r="E306" i="1"/>
  <c r="E276" i="1"/>
  <c r="E246" i="1"/>
  <c r="E216" i="1"/>
  <c r="E186" i="1"/>
  <c r="E156" i="1"/>
  <c r="E126" i="1"/>
  <c r="E96" i="1"/>
  <c r="E66" i="1"/>
  <c r="E36" i="1"/>
  <c r="E6" i="1"/>
  <c r="E305" i="1"/>
  <c r="E275" i="1"/>
  <c r="E245" i="1"/>
  <c r="E215" i="1"/>
  <c r="E185" i="1"/>
  <c r="E155" i="1"/>
  <c r="E125" i="1"/>
  <c r="E95" i="1"/>
  <c r="E65" i="1"/>
  <c r="E35" i="1"/>
  <c r="E5" i="1"/>
  <c r="E304" i="1"/>
  <c r="E274" i="1"/>
  <c r="E244" i="1"/>
  <c r="E214" i="1"/>
  <c r="E184" i="1"/>
  <c r="E154" i="1"/>
  <c r="E124" i="1"/>
  <c r="E94" i="1"/>
  <c r="E64" i="1"/>
  <c r="E34" i="1"/>
  <c r="E4" i="1"/>
  <c r="E303" i="1"/>
  <c r="E273" i="1"/>
  <c r="E243" i="1"/>
  <c r="E213" i="1"/>
  <c r="E183" i="1"/>
  <c r="E153" i="1"/>
  <c r="E123" i="1"/>
  <c r="E93" i="1"/>
  <c r="E63" i="1"/>
  <c r="E33" i="1"/>
  <c r="E3" i="1"/>
  <c r="E302" i="1"/>
  <c r="E272" i="1"/>
  <c r="E242" i="1"/>
  <c r="E212" i="1"/>
  <c r="E182" i="1"/>
  <c r="E152" i="1"/>
  <c r="E122" i="1"/>
  <c r="E92" i="1"/>
  <c r="E62" i="1"/>
  <c r="E32" i="1"/>
  <c r="E2" i="1"/>
</calcChain>
</file>

<file path=xl/sharedStrings.xml><?xml version="1.0" encoding="utf-8"?>
<sst xmlns="http://schemas.openxmlformats.org/spreadsheetml/2006/main" count="1017" uniqueCount="37">
  <si>
    <t>Age</t>
  </si>
  <si>
    <t>Gender</t>
  </si>
  <si>
    <t>45-54</t>
  </si>
  <si>
    <t>males</t>
  </si>
  <si>
    <t>Estonia</t>
  </si>
  <si>
    <t>Latvia</t>
  </si>
  <si>
    <t>Lithuania</t>
  </si>
  <si>
    <t>females</t>
  </si>
  <si>
    <t>55-64</t>
  </si>
  <si>
    <t>65-74</t>
  </si>
  <si>
    <t>75-84</t>
  </si>
  <si>
    <t>85+</t>
  </si>
  <si>
    <t>Country</t>
  </si>
  <si>
    <t>Year</t>
  </si>
  <si>
    <t>Amount</t>
  </si>
  <si>
    <t>EXCEL SHEETS</t>
  </si>
  <si>
    <t>supporting paper "Financial Sustainability of the Care for the Disabled: A Simulation of Benefits for Older People in the Baltic States up to 2036 with data from SHARE and Eurostat"</t>
  </si>
  <si>
    <t>Author: Hans Gevers - Junior Research Fellow at the Estonian Business School</t>
  </si>
  <si>
    <t>https://orcid.org/0009-0001-0249-4142 hans.gevers@ebs.ee</t>
  </si>
  <si>
    <t>Conventions:</t>
  </si>
  <si>
    <t>Description</t>
  </si>
  <si>
    <t>Code</t>
  </si>
  <si>
    <t>Note</t>
  </si>
  <si>
    <t>Hard-coded numbers</t>
  </si>
  <si>
    <t>Blue</t>
  </si>
  <si>
    <t>Formulas/calculations</t>
  </si>
  <si>
    <t>Black</t>
  </si>
  <si>
    <t>Interpolated within</t>
  </si>
  <si>
    <t>Green</t>
  </si>
  <si>
    <t>Time average of the preceding and subsequent value (first available)</t>
  </si>
  <si>
    <t>Interpolated across</t>
  </si>
  <si>
    <t>Dark red</t>
  </si>
  <si>
    <t>Cross-sectionl average of the preceding and subsequent value (first available)</t>
  </si>
  <si>
    <t>Linked to online content</t>
  </si>
  <si>
    <t>Red</t>
  </si>
  <si>
    <t>Linked to other sheet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</si>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</sst>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6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9"/>
      <name val="Arial"/>
      <family val="2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48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7" fillId="2" borderId="0" xfId="0" applyFont="1" applyFill="1" applyAlignment="1">
      <alignment horizontal="left"/>
    </xf>
    <xf numFmtId="0" fontId="0" fillId="2" borderId="0" xfId="0" applyFill="1"/>
    <xf numFmtId="0" fontId="8" fillId="2" borderId="0" xfId="0" applyFont="1" applyFill="1"/>
    <xf numFmtId="0" fontId="6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1" xfId="0" applyFont="1" applyFill="1" applyBorder="1"/>
    <xf numFmtId="0" fontId="12" fillId="3" borderId="0" xfId="0" applyFont="1" applyFill="1"/>
    <xf numFmtId="0" fontId="0" fillId="3" borderId="0" xfId="0" applyFill="1"/>
    <xf numFmtId="0" fontId="13" fillId="3" borderId="0" xfId="0" applyFont="1" applyFill="1"/>
    <xf numFmtId="0" fontId="14" fillId="3" borderId="0" xfId="0" applyFont="1" applyFill="1"/>
    <xf numFmtId="0" fontId="5" fillId="3" borderId="0" xfId="0" applyFont="1" applyFill="1"/>
    <xf numFmtId="0" fontId="15" fillId="3" borderId="0" xfId="0" applyFont="1" applyFill="1"/>
    <xf numFmtId="0" fontId="12" fillId="0" borderId="0" xfId="0" applyFont="1"/>
    <xf numFmtId="43" fontId="12" fillId="0" borderId="0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sg\Downloads\simulating%20Estonia's%20disability%20benefits\Eurostat%20data.xlsx" TargetMode="External"/><Relationship Id="rId1" Type="http://schemas.openxmlformats.org/officeDocument/2006/relationships/externalLinkPath" Target="Eurostat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"/>
      <sheetName val="Error checking"/>
      <sheetName val="FORECASTS &gt;&gt;&gt;"/>
      <sheetName val="Population"/>
      <sheetName val="Disability"/>
      <sheetName val="Income"/>
      <sheetName val="CALCULATIONS&gt;&gt;&gt; "/>
      <sheetName val="Input data"/>
      <sheetName val="Eurostat data forecast"/>
    </sheetNames>
    <sheetDataSet>
      <sheetData sheetId="0"/>
      <sheetData sheetId="1"/>
      <sheetData sheetId="2"/>
      <sheetData sheetId="3"/>
      <sheetData sheetId="4"/>
      <sheetData sheetId="5">
        <row r="65">
          <cell r="W65">
            <v>25263.867013071867</v>
          </cell>
          <cell r="X65">
            <v>25177.694125558977</v>
          </cell>
          <cell r="Y65">
            <v>25091.521238046087</v>
          </cell>
          <cell r="Z65">
            <v>25005.348350533168</v>
          </cell>
          <cell r="AA65">
            <v>24919.175463020278</v>
          </cell>
          <cell r="AB65">
            <v>24833.002575507358</v>
          </cell>
          <cell r="AC65">
            <v>24746.829687994468</v>
          </cell>
          <cell r="AD65">
            <v>24660.656800481578</v>
          </cell>
          <cell r="AE65">
            <v>24574.483912968688</v>
          </cell>
          <cell r="AF65">
            <v>24488.311025455769</v>
          </cell>
          <cell r="AG65">
            <v>24402.138137942849</v>
          </cell>
        </row>
        <row r="66">
          <cell r="W66">
            <v>39943.807555555599</v>
          </cell>
          <cell r="X66">
            <v>39661.518678362598</v>
          </cell>
          <cell r="Y66">
            <v>39379.229801169713</v>
          </cell>
          <cell r="Z66">
            <v>39096.940923976596</v>
          </cell>
          <cell r="AA66">
            <v>38814.652046783711</v>
          </cell>
          <cell r="AB66">
            <v>38532.36316959071</v>
          </cell>
          <cell r="AC66">
            <v>38250.074292397709</v>
          </cell>
          <cell r="AD66">
            <v>37967.785415204708</v>
          </cell>
          <cell r="AE66">
            <v>37685.49653801159</v>
          </cell>
          <cell r="AF66">
            <v>37403.207660818822</v>
          </cell>
          <cell r="AG66">
            <v>37120.918783625704</v>
          </cell>
        </row>
        <row r="67">
          <cell r="W67">
            <v>42147.744372549001</v>
          </cell>
          <cell r="X67">
            <v>42362.986902992765</v>
          </cell>
          <cell r="Y67">
            <v>42578.229433436529</v>
          </cell>
          <cell r="Z67">
            <v>42793.471963880293</v>
          </cell>
          <cell r="AA67">
            <v>43008.714494324056</v>
          </cell>
          <cell r="AB67">
            <v>43223.957024767762</v>
          </cell>
          <cell r="AC67">
            <v>43439.199555211584</v>
          </cell>
          <cell r="AD67">
            <v>43654.44208565529</v>
          </cell>
          <cell r="AE67">
            <v>43869.684616099054</v>
          </cell>
          <cell r="AF67">
            <v>44084.927146542817</v>
          </cell>
          <cell r="AG67">
            <v>44300.169676986581</v>
          </cell>
        </row>
        <row r="68">
          <cell r="W68">
            <v>24007.045522875822</v>
          </cell>
          <cell r="X68">
            <v>23890.769022359833</v>
          </cell>
          <cell r="Y68">
            <v>23774.492521843844</v>
          </cell>
          <cell r="Z68">
            <v>23658.216021327826</v>
          </cell>
          <cell r="AA68">
            <v>23541.939520811837</v>
          </cell>
          <cell r="AB68">
            <v>23425.663020295848</v>
          </cell>
          <cell r="AC68">
            <v>23309.386519779888</v>
          </cell>
          <cell r="AD68">
            <v>23193.11001926387</v>
          </cell>
          <cell r="AE68">
            <v>23076.833518747881</v>
          </cell>
          <cell r="AF68">
            <v>22960.557018231892</v>
          </cell>
          <cell r="AG68">
            <v>22844.280517715873</v>
          </cell>
        </row>
        <row r="69">
          <cell r="W69">
            <v>44001.996843137313</v>
          </cell>
          <cell r="X69">
            <v>43600.097703818465</v>
          </cell>
          <cell r="Y69">
            <v>43198.1985644995</v>
          </cell>
          <cell r="Z69">
            <v>42796.299425180652</v>
          </cell>
          <cell r="AA69">
            <v>42394.400285861688</v>
          </cell>
          <cell r="AB69">
            <v>41992.50114654284</v>
          </cell>
          <cell r="AC69">
            <v>41590.602007223992</v>
          </cell>
          <cell r="AD69">
            <v>41188.702867905144</v>
          </cell>
          <cell r="AE69">
            <v>40786.803728586179</v>
          </cell>
          <cell r="AF69">
            <v>40384.904589267331</v>
          </cell>
          <cell r="AG69">
            <v>39983.005449948483</v>
          </cell>
        </row>
        <row r="70">
          <cell r="W70">
            <v>34197.153114379151</v>
          </cell>
          <cell r="X70">
            <v>33311.352497763932</v>
          </cell>
          <cell r="Y70">
            <v>32425.551881148946</v>
          </cell>
          <cell r="Z70">
            <v>31539.751264533959</v>
          </cell>
          <cell r="AA70">
            <v>30653.95064791874</v>
          </cell>
          <cell r="AB70">
            <v>29768.150031303754</v>
          </cell>
          <cell r="AC70">
            <v>28882.349414688768</v>
          </cell>
          <cell r="AD70">
            <v>27996.548798073549</v>
          </cell>
          <cell r="AE70">
            <v>27110.748181458563</v>
          </cell>
          <cell r="AF70">
            <v>26224.947564843576</v>
          </cell>
          <cell r="AG70">
            <v>25339.146948228357</v>
          </cell>
        </row>
        <row r="71">
          <cell r="W71">
            <v>35955.965176470636</v>
          </cell>
          <cell r="X71">
            <v>36146.410510835936</v>
          </cell>
          <cell r="Y71">
            <v>36336.855845201237</v>
          </cell>
          <cell r="Z71">
            <v>36527.301179566595</v>
          </cell>
          <cell r="AA71">
            <v>36717.746513931954</v>
          </cell>
          <cell r="AB71">
            <v>36908.191848297196</v>
          </cell>
          <cell r="AC71">
            <v>37098.637182662555</v>
          </cell>
          <cell r="AD71">
            <v>37289.082517027855</v>
          </cell>
          <cell r="AE71">
            <v>37479.527851393213</v>
          </cell>
          <cell r="AF71">
            <v>37669.973185758514</v>
          </cell>
          <cell r="AG71">
            <v>37860.418520123872</v>
          </cell>
        </row>
        <row r="72">
          <cell r="W72">
            <v>61085.598568627378</v>
          </cell>
          <cell r="X72">
            <v>61899.973435500637</v>
          </cell>
          <cell r="Y72">
            <v>62714.348302373663</v>
          </cell>
          <cell r="Z72">
            <v>63528.723169246688</v>
          </cell>
          <cell r="AA72">
            <v>64343.098036119714</v>
          </cell>
          <cell r="AB72">
            <v>65157.47290299274</v>
          </cell>
          <cell r="AC72">
            <v>65971.847769865766</v>
          </cell>
          <cell r="AD72">
            <v>66786.222636738792</v>
          </cell>
          <cell r="AE72">
            <v>67600.597503612051</v>
          </cell>
          <cell r="AF72">
            <v>68414.972370484844</v>
          </cell>
          <cell r="AG72">
            <v>69229.347237358103</v>
          </cell>
        </row>
        <row r="73">
          <cell r="W73">
            <v>69283.439816993428</v>
          </cell>
          <cell r="X73">
            <v>70126.653259718092</v>
          </cell>
          <cell r="Y73">
            <v>70969.866702442523</v>
          </cell>
          <cell r="Z73">
            <v>71813.080145166954</v>
          </cell>
          <cell r="AA73">
            <v>72656.293587891618</v>
          </cell>
          <cell r="AB73">
            <v>73499.507030615583</v>
          </cell>
          <cell r="AC73">
            <v>74342.720473340247</v>
          </cell>
          <cell r="AD73">
            <v>75185.933916064911</v>
          </cell>
          <cell r="AE73">
            <v>76029.147358789109</v>
          </cell>
          <cell r="AF73">
            <v>76872.360801513772</v>
          </cell>
          <cell r="AG73">
            <v>77715.574244237971</v>
          </cell>
        </row>
        <row r="74">
          <cell r="W74">
            <v>37310.658758169913</v>
          </cell>
          <cell r="X74">
            <v>37080.940528035746</v>
          </cell>
          <cell r="Y74">
            <v>36851.222297901579</v>
          </cell>
          <cell r="Z74">
            <v>36621.50406776747</v>
          </cell>
          <cell r="AA74">
            <v>36391.785837633302</v>
          </cell>
          <cell r="AB74">
            <v>36162.067607499135</v>
          </cell>
          <cell r="AC74">
            <v>35932.349377364968</v>
          </cell>
          <cell r="AD74">
            <v>35702.631147230801</v>
          </cell>
          <cell r="AE74">
            <v>35472.912917096633</v>
          </cell>
          <cell r="AF74">
            <v>35243.194686962466</v>
          </cell>
          <cell r="AG74">
            <v>35013.476456828357</v>
          </cell>
        </row>
        <row r="75">
          <cell r="W75">
            <v>72002.397424836614</v>
          </cell>
          <cell r="X75">
            <v>72061.460440316499</v>
          </cell>
          <cell r="Y75">
            <v>72120.523455796385</v>
          </cell>
          <cell r="Z75">
            <v>72179.586471276256</v>
          </cell>
          <cell r="AA75">
            <v>72238.649486756127</v>
          </cell>
          <cell r="AB75">
            <v>72297.712502236027</v>
          </cell>
          <cell r="AC75">
            <v>72356.775517715898</v>
          </cell>
          <cell r="AD75">
            <v>72415.838533195769</v>
          </cell>
          <cell r="AE75">
            <v>72474.901548675654</v>
          </cell>
          <cell r="AF75">
            <v>72533.96456415554</v>
          </cell>
          <cell r="AG75">
            <v>72593.027579635396</v>
          </cell>
        </row>
        <row r="76">
          <cell r="W76">
            <v>78072.798738562095</v>
          </cell>
          <cell r="X76">
            <v>78306.532208118355</v>
          </cell>
          <cell r="Y76">
            <v>78540.265677674615</v>
          </cell>
          <cell r="Z76">
            <v>78773.999147230876</v>
          </cell>
          <cell r="AA76">
            <v>79007.732616787078</v>
          </cell>
          <cell r="AB76">
            <v>79241.466086343338</v>
          </cell>
          <cell r="AC76">
            <v>79475.199555899599</v>
          </cell>
          <cell r="AD76">
            <v>79708.933025455859</v>
          </cell>
          <cell r="AE76">
            <v>79942.666495012061</v>
          </cell>
          <cell r="AF76">
            <v>80176.399964568322</v>
          </cell>
          <cell r="AG76">
            <v>80410.133434124582</v>
          </cell>
        </row>
        <row r="77">
          <cell r="W77">
            <v>31539.205686274508</v>
          </cell>
          <cell r="X77">
            <v>31738.434214654262</v>
          </cell>
          <cell r="Y77">
            <v>31937.662743034016</v>
          </cell>
          <cell r="Z77">
            <v>32136.891271413828</v>
          </cell>
          <cell r="AA77">
            <v>32336.119799793581</v>
          </cell>
          <cell r="AB77">
            <v>32535.348328173393</v>
          </cell>
          <cell r="AC77">
            <v>32734.576856553147</v>
          </cell>
          <cell r="AD77">
            <v>32933.805384932901</v>
          </cell>
          <cell r="AE77">
            <v>33133.033913312654</v>
          </cell>
          <cell r="AF77">
            <v>33332.262441692466</v>
          </cell>
          <cell r="AG77">
            <v>33531.49097007222</v>
          </cell>
        </row>
        <row r="78">
          <cell r="W78">
            <v>50532.665104575164</v>
          </cell>
          <cell r="X78">
            <v>50778.313127278991</v>
          </cell>
          <cell r="Y78">
            <v>51023.961149982817</v>
          </cell>
          <cell r="Z78">
            <v>51269.609172686643</v>
          </cell>
          <cell r="AA78">
            <v>51515.257195390412</v>
          </cell>
          <cell r="AB78">
            <v>51760.905218094238</v>
          </cell>
          <cell r="AC78">
            <v>52006.553240798065</v>
          </cell>
          <cell r="AD78">
            <v>52252.201263501891</v>
          </cell>
          <cell r="AE78">
            <v>52497.849286205717</v>
          </cell>
          <cell r="AF78">
            <v>52743.497308909486</v>
          </cell>
          <cell r="AG78">
            <v>52989.145331613312</v>
          </cell>
        </row>
        <row r="79">
          <cell r="W79">
            <v>54241.93362091505</v>
          </cell>
          <cell r="X79">
            <v>54156.856428964558</v>
          </cell>
          <cell r="Y79">
            <v>54071.779237014096</v>
          </cell>
          <cell r="Z79">
            <v>53986.702045063634</v>
          </cell>
          <cell r="AA79">
            <v>53901.624853113171</v>
          </cell>
          <cell r="AB79">
            <v>53816.547661162709</v>
          </cell>
          <cell r="AC79">
            <v>53731.470469212247</v>
          </cell>
          <cell r="AD79">
            <v>53646.393277261785</v>
          </cell>
          <cell r="AE79">
            <v>53561.316085311322</v>
          </cell>
          <cell r="AF79">
            <v>53476.23889336086</v>
          </cell>
          <cell r="AG79">
            <v>53391.161701410398</v>
          </cell>
        </row>
        <row r="80">
          <cell r="W80">
            <v>42462.087810457568</v>
          </cell>
          <cell r="X80">
            <v>41994.911732026143</v>
          </cell>
          <cell r="Y80">
            <v>41527.735653594718</v>
          </cell>
          <cell r="Z80">
            <v>41060.55957516341</v>
          </cell>
          <cell r="AA80">
            <v>40593.383496732102</v>
          </cell>
          <cell r="AB80">
            <v>40126.207418300677</v>
          </cell>
          <cell r="AC80">
            <v>39659.031339869252</v>
          </cell>
          <cell r="AD80">
            <v>39191.855261437944</v>
          </cell>
          <cell r="AE80">
            <v>38724.679183006636</v>
          </cell>
          <cell r="AF80">
            <v>38257.503104575211</v>
          </cell>
          <cell r="AG80">
            <v>37790.327026143786</v>
          </cell>
        </row>
        <row r="81">
          <cell r="W81">
            <v>80168.405679738615</v>
          </cell>
          <cell r="X81">
            <v>79717.509809769574</v>
          </cell>
          <cell r="Y81">
            <v>79266.613939800533</v>
          </cell>
          <cell r="Z81">
            <v>78815.718069831608</v>
          </cell>
          <cell r="AA81">
            <v>78364.82219986245</v>
          </cell>
          <cell r="AB81">
            <v>77913.926329893409</v>
          </cell>
          <cell r="AC81">
            <v>77463.030459924368</v>
          </cell>
          <cell r="AD81">
            <v>77012.134589955327</v>
          </cell>
          <cell r="AE81">
            <v>76561.238719986286</v>
          </cell>
          <cell r="AF81">
            <v>76110.342850017361</v>
          </cell>
          <cell r="AG81">
            <v>75659.44698004832</v>
          </cell>
        </row>
        <row r="82">
          <cell r="W82">
            <v>79550.837947712746</v>
          </cell>
          <cell r="X82">
            <v>77808.98746267613</v>
          </cell>
          <cell r="Y82">
            <v>76067.136977640446</v>
          </cell>
          <cell r="Z82">
            <v>74325.286492604297</v>
          </cell>
          <cell r="AA82">
            <v>72583.436007568147</v>
          </cell>
          <cell r="AB82">
            <v>70841.585522531997</v>
          </cell>
          <cell r="AC82">
            <v>69099.735037495848</v>
          </cell>
          <cell r="AD82">
            <v>67357.884552459698</v>
          </cell>
          <cell r="AE82">
            <v>65616.034067423549</v>
          </cell>
          <cell r="AF82">
            <v>63874.183582387399</v>
          </cell>
          <cell r="AG82">
            <v>62132.333097351249</v>
          </cell>
        </row>
        <row r="83">
          <cell r="W83">
            <v>18207.884947712417</v>
          </cell>
          <cell r="X83">
            <v>18194.200024079801</v>
          </cell>
          <cell r="Y83">
            <v>18180.515100447199</v>
          </cell>
          <cell r="Z83">
            <v>18166.830176814579</v>
          </cell>
          <cell r="AA83">
            <v>18153.145253181974</v>
          </cell>
          <cell r="AB83">
            <v>18139.460329549365</v>
          </cell>
          <cell r="AC83">
            <v>18125.775405916749</v>
          </cell>
          <cell r="AD83">
            <v>18112.090482284137</v>
          </cell>
          <cell r="AE83">
            <v>18098.405558651521</v>
          </cell>
          <cell r="AF83">
            <v>18084.720635018915</v>
          </cell>
          <cell r="AG83">
            <v>18071.035711386307</v>
          </cell>
        </row>
        <row r="84">
          <cell r="W84">
            <v>33865.511647058884</v>
          </cell>
          <cell r="X84">
            <v>34141.945066047483</v>
          </cell>
          <cell r="Y84">
            <v>34418.378485035966</v>
          </cell>
          <cell r="Z84">
            <v>34694.811904024682</v>
          </cell>
          <cell r="AA84">
            <v>34971.245323013398</v>
          </cell>
          <cell r="AB84">
            <v>35247.678742001997</v>
          </cell>
          <cell r="AC84">
            <v>35524.112160990713</v>
          </cell>
          <cell r="AD84">
            <v>35800.545579979313</v>
          </cell>
          <cell r="AE84">
            <v>36076.978998968028</v>
          </cell>
          <cell r="AF84">
            <v>36353.412417956628</v>
          </cell>
          <cell r="AG84">
            <v>36629.845836945227</v>
          </cell>
        </row>
        <row r="85">
          <cell r="W85">
            <v>37083.504718954209</v>
          </cell>
          <cell r="X85">
            <v>36687.959537323681</v>
          </cell>
          <cell r="Y85">
            <v>36292.414355693036</v>
          </cell>
          <cell r="Z85">
            <v>35896.869174062507</v>
          </cell>
          <cell r="AA85">
            <v>35501.323992431979</v>
          </cell>
          <cell r="AB85">
            <v>35105.77881080145</v>
          </cell>
          <cell r="AC85">
            <v>34710.233629170922</v>
          </cell>
          <cell r="AD85">
            <v>34314.688447540393</v>
          </cell>
          <cell r="AE85">
            <v>33919.143265909865</v>
          </cell>
          <cell r="AF85">
            <v>33523.59808427922</v>
          </cell>
          <cell r="AG85">
            <v>33128.052902648691</v>
          </cell>
        </row>
        <row r="86">
          <cell r="W86">
            <v>40815.792960784165</v>
          </cell>
          <cell r="X86">
            <v>40296.623377708951</v>
          </cell>
          <cell r="Y86">
            <v>39777.453794633737</v>
          </cell>
          <cell r="Z86">
            <v>39258.28421155829</v>
          </cell>
          <cell r="AA86">
            <v>38739.114628482843</v>
          </cell>
          <cell r="AB86">
            <v>38219.945045407629</v>
          </cell>
          <cell r="AC86">
            <v>37700.775462332182</v>
          </cell>
          <cell r="AD86">
            <v>37181.605879256967</v>
          </cell>
          <cell r="AE86">
            <v>36662.436296181288</v>
          </cell>
          <cell r="AF86">
            <v>36143.266713106073</v>
          </cell>
          <cell r="AG86">
            <v>35624.097130031092</v>
          </cell>
        </row>
        <row r="87">
          <cell r="W87">
            <v>81530.646392156894</v>
          </cell>
          <cell r="X87">
            <v>81758.404766769905</v>
          </cell>
          <cell r="Y87">
            <v>81986.163141382858</v>
          </cell>
          <cell r="Z87">
            <v>82213.921515995811</v>
          </cell>
          <cell r="AA87">
            <v>82441.679890608939</v>
          </cell>
          <cell r="AB87">
            <v>82669.438265221892</v>
          </cell>
          <cell r="AC87">
            <v>82897.196639834845</v>
          </cell>
          <cell r="AD87">
            <v>83124.955014447856</v>
          </cell>
          <cell r="AE87">
            <v>83352.713389060867</v>
          </cell>
          <cell r="AF87">
            <v>83580.471763673879</v>
          </cell>
          <cell r="AG87">
            <v>83808.23013828689</v>
          </cell>
        </row>
        <row r="88">
          <cell r="W88">
            <v>92628.553392156959</v>
          </cell>
          <cell r="X88">
            <v>91805.434766769875</v>
          </cell>
          <cell r="Y88">
            <v>90982.316141382791</v>
          </cell>
          <cell r="Z88">
            <v>90159.19751599594</v>
          </cell>
          <cell r="AA88">
            <v>89336.078890608856</v>
          </cell>
          <cell r="AB88">
            <v>88512.960265222006</v>
          </cell>
          <cell r="AC88">
            <v>87689.841639834922</v>
          </cell>
          <cell r="AD88">
            <v>86866.723014447838</v>
          </cell>
          <cell r="AE88">
            <v>86043.604389060987</v>
          </cell>
          <cell r="AF88">
            <v>85220.485763673903</v>
          </cell>
          <cell r="AG88">
            <v>84397.36713828682</v>
          </cell>
        </row>
        <row r="89">
          <cell r="W89">
            <v>6963.3307124183048</v>
          </cell>
          <cell r="X89">
            <v>7179.1869745441945</v>
          </cell>
          <cell r="Y89">
            <v>7395.0432366700843</v>
          </cell>
          <cell r="Z89">
            <v>7610.8994987960323</v>
          </cell>
          <cell r="AA89">
            <v>7826.755760921922</v>
          </cell>
          <cell r="AB89">
            <v>8042.6120230478118</v>
          </cell>
          <cell r="AC89">
            <v>8258.4682851736434</v>
          </cell>
          <cell r="AD89">
            <v>8474.3245472996496</v>
          </cell>
          <cell r="AE89">
            <v>8690.1808094255393</v>
          </cell>
          <cell r="AF89">
            <v>8906.0370715514291</v>
          </cell>
          <cell r="AG89">
            <v>9121.8933336773189</v>
          </cell>
        </row>
        <row r="90">
          <cell r="W90">
            <v>11467.994281045743</v>
          </cell>
          <cell r="X90">
            <v>11876.762620571069</v>
          </cell>
          <cell r="Y90">
            <v>12285.530960096279</v>
          </cell>
          <cell r="Z90">
            <v>12694.299299621605</v>
          </cell>
          <cell r="AA90">
            <v>13103.067639146931</v>
          </cell>
          <cell r="AB90">
            <v>13511.835978672258</v>
          </cell>
          <cell r="AC90">
            <v>13920.604318197467</v>
          </cell>
          <cell r="AD90">
            <v>14329.372657722677</v>
          </cell>
          <cell r="AE90">
            <v>14738.14099724812</v>
          </cell>
          <cell r="AF90">
            <v>15146.909336773329</v>
          </cell>
          <cell r="AG90">
            <v>15555.677676298539</v>
          </cell>
        </row>
        <row r="91">
          <cell r="W91">
            <v>15157.692300653551</v>
          </cell>
          <cell r="X91">
            <v>15490.275993120158</v>
          </cell>
          <cell r="Y91">
            <v>15822.859685586533</v>
          </cell>
          <cell r="Z91">
            <v>16155.443378053023</v>
          </cell>
          <cell r="AA91">
            <v>16488.027070519514</v>
          </cell>
          <cell r="AB91">
            <v>16820.610762985889</v>
          </cell>
          <cell r="AC91">
            <v>17153.19445545238</v>
          </cell>
          <cell r="AD91">
            <v>17485.778147918871</v>
          </cell>
          <cell r="AE91">
            <v>17818.361840385245</v>
          </cell>
          <cell r="AF91">
            <v>18150.945532851736</v>
          </cell>
          <cell r="AG91">
            <v>18483.529225318227</v>
          </cell>
        </row>
        <row r="92">
          <cell r="W92">
            <v>26864.880058823619</v>
          </cell>
          <cell r="X92">
            <v>27589.078380804975</v>
          </cell>
          <cell r="Y92">
            <v>28313.27670278633</v>
          </cell>
          <cell r="Z92">
            <v>29037.475024767686</v>
          </cell>
          <cell r="AA92">
            <v>29761.673346749274</v>
          </cell>
          <cell r="AB92">
            <v>30485.871668730862</v>
          </cell>
          <cell r="AC92">
            <v>31210.069990712218</v>
          </cell>
          <cell r="AD92">
            <v>31934.268312693574</v>
          </cell>
          <cell r="AE92">
            <v>32658.466634674929</v>
          </cell>
          <cell r="AF92">
            <v>33382.664956656285</v>
          </cell>
          <cell r="AG92">
            <v>34106.86327863764</v>
          </cell>
        </row>
        <row r="93">
          <cell r="W93">
            <v>40384.005287581589</v>
          </cell>
          <cell r="X93">
            <v>41505.731639490929</v>
          </cell>
          <cell r="Y93">
            <v>42627.457991400268</v>
          </cell>
          <cell r="Z93">
            <v>43749.184343309142</v>
          </cell>
          <cell r="AA93">
            <v>44870.910695218481</v>
          </cell>
          <cell r="AB93">
            <v>45992.637047127821</v>
          </cell>
          <cell r="AC93">
            <v>47114.363399036694</v>
          </cell>
          <cell r="AD93">
            <v>48236.089750946034</v>
          </cell>
          <cell r="AE93">
            <v>49357.816102855373</v>
          </cell>
          <cell r="AF93">
            <v>50479.542454764247</v>
          </cell>
          <cell r="AG93">
            <v>51601.268806673586</v>
          </cell>
        </row>
        <row r="94">
          <cell r="W94">
            <v>54484.810457516462</v>
          </cell>
          <cell r="X94">
            <v>55814.809061231557</v>
          </cell>
          <cell r="Y94">
            <v>57144.807664947119</v>
          </cell>
          <cell r="Z94">
            <v>58474.806268662214</v>
          </cell>
          <cell r="AA94">
            <v>59804.80487237731</v>
          </cell>
          <cell r="AB94">
            <v>61134.803476092406</v>
          </cell>
          <cell r="AC94">
            <v>62464.802079807501</v>
          </cell>
          <cell r="AD94">
            <v>63794.800683522597</v>
          </cell>
          <cell r="AE94">
            <v>65124.799287237693</v>
          </cell>
          <cell r="AF94">
            <v>66454.797890953254</v>
          </cell>
          <cell r="AG94">
            <v>67784.79649466835</v>
          </cell>
        </row>
      </sheetData>
      <sheetData sheetId="6">
        <row r="65">
          <cell r="V65">
            <v>4.7716840538303495E-2</v>
          </cell>
          <cell r="W65">
            <v>3.4692994376634312E-2</v>
          </cell>
          <cell r="X65">
            <v>3.3529747050752512E-2</v>
          </cell>
          <cell r="Y65">
            <v>3.2441975808090495E-2</v>
          </cell>
          <cell r="Z65">
            <v>3.1422565692079907E-2</v>
          </cell>
          <cell r="AA65">
            <v>7.6305319137245142E-2</v>
          </cell>
          <cell r="AB65">
            <v>3.1563166745534277E-2</v>
          </cell>
          <cell r="AC65">
            <v>4.8203040309062306E-2</v>
          </cell>
          <cell r="AD65">
            <v>2.496975594843498E-2</v>
          </cell>
          <cell r="AE65">
            <v>2.6563162985763666E-2</v>
          </cell>
          <cell r="AF65">
            <v>2.7173296928128865E-2</v>
          </cell>
        </row>
        <row r="66">
          <cell r="V66">
            <v>-0.12032295141123772</v>
          </cell>
          <cell r="W66">
            <v>3.861597459818622E-2</v>
          </cell>
          <cell r="X66">
            <v>3.7180224012177021E-2</v>
          </cell>
          <cell r="Y66">
            <v>3.5847409303998212E-2</v>
          </cell>
          <cell r="Z66">
            <v>3.4606843616169947E-2</v>
          </cell>
          <cell r="AA66">
            <v>0.18747420948622517</v>
          </cell>
          <cell r="AB66">
            <v>5.1397797247334731E-2</v>
          </cell>
          <cell r="AC66">
            <v>4.7830481990605911E-2</v>
          </cell>
          <cell r="AD66">
            <v>4.1461687589078533E-2</v>
          </cell>
          <cell r="AE66">
            <v>4.8617579055851401E-2</v>
          </cell>
          <cell r="AF66">
            <v>5.9134324170020403E-2</v>
          </cell>
        </row>
        <row r="67">
          <cell r="V67">
            <v>-6.3553878475577918E-2</v>
          </cell>
          <cell r="W67">
            <v>4.187748293162552E-2</v>
          </cell>
          <cell r="X67">
            <v>4.0194248956961554E-2</v>
          </cell>
          <cell r="Y67">
            <v>3.8641099003656532E-2</v>
          </cell>
          <cell r="Z67">
            <v>3.7203514323401965E-2</v>
          </cell>
          <cell r="AA67">
            <v>0.18252295186120993</v>
          </cell>
          <cell r="AB67">
            <v>5.9707139325348546E-2</v>
          </cell>
          <cell r="AC67">
            <v>5.4799084716703916E-2</v>
          </cell>
          <cell r="AD67">
            <v>4.2820751813443358E-2</v>
          </cell>
          <cell r="AE67">
            <v>4.2434450364250642E-2</v>
          </cell>
          <cell r="AF67">
            <v>5.1897157105751823E-2</v>
          </cell>
        </row>
        <row r="68">
          <cell r="V68">
            <v>6.5586294577899551E-2</v>
          </cell>
          <cell r="W68">
            <v>3.5531872402095876E-2</v>
          </cell>
          <cell r="X68">
            <v>3.4312678681413855E-2</v>
          </cell>
          <cell r="Y68">
            <v>3.3174376944858475E-2</v>
          </cell>
          <cell r="Z68">
            <v>3.2109175067762674E-2</v>
          </cell>
          <cell r="AA68">
            <v>9.1156577385701043E-2</v>
          </cell>
          <cell r="AB68">
            <v>2.7905993398562368E-2</v>
          </cell>
          <cell r="AC68">
            <v>4.9367250688019171E-2</v>
          </cell>
          <cell r="AD68">
            <v>2.1065463009705576E-2</v>
          </cell>
          <cell r="AE68">
            <v>2.399967995593677E-2</v>
          </cell>
          <cell r="AF68">
            <v>2.5671862041835691E-2</v>
          </cell>
        </row>
        <row r="69">
          <cell r="V69">
            <v>-0.12431560588616508</v>
          </cell>
          <cell r="W69">
            <v>3.7795751514719811E-2</v>
          </cell>
          <cell r="X69">
            <v>3.6419258278476141E-2</v>
          </cell>
          <cell r="Y69">
            <v>3.5139503620338353E-2</v>
          </cell>
          <cell r="Z69">
            <v>3.3946635692522653E-2</v>
          </cell>
          <cell r="AA69">
            <v>0.20829915292249845</v>
          </cell>
          <cell r="AB69">
            <v>4.3564366903516838E-2</v>
          </cell>
          <cell r="AC69">
            <v>4.4010359296147383E-2</v>
          </cell>
          <cell r="AD69">
            <v>4.0453575084920868E-2</v>
          </cell>
          <cell r="AE69">
            <v>4.6896200350947215E-2</v>
          </cell>
          <cell r="AF69">
            <v>5.9423777245773968E-2</v>
          </cell>
        </row>
        <row r="70">
          <cell r="V70">
            <v>-2.6053767151009266E-2</v>
          </cell>
          <cell r="W70">
            <v>4.0064324497935955E-2</v>
          </cell>
          <cell r="X70">
            <v>3.8521006397624236E-2</v>
          </cell>
          <cell r="Y70">
            <v>3.709217835781109E-2</v>
          </cell>
          <cell r="Z70">
            <v>3.576555597644715E-2</v>
          </cell>
          <cell r="AA70">
            <v>0.15928932478967028</v>
          </cell>
          <cell r="AB70">
            <v>5.4753513449024016E-2</v>
          </cell>
          <cell r="AC70">
            <v>5.0764125573372176E-2</v>
          </cell>
          <cell r="AD70">
            <v>4.0899028610943189E-2</v>
          </cell>
          <cell r="AE70">
            <v>3.8624213395876517E-2</v>
          </cell>
          <cell r="AF70">
            <v>4.4311483177497113E-2</v>
          </cell>
        </row>
        <row r="71">
          <cell r="V71">
            <v>5.689783111928981E-2</v>
          </cell>
          <cell r="W71">
            <v>3.5898737171869088E-2</v>
          </cell>
          <cell r="X71">
            <v>3.4654677994759409E-2</v>
          </cell>
          <cell r="Y71">
            <v>3.3493955743691073E-2</v>
          </cell>
          <cell r="Z71">
            <v>3.240846795237351E-2</v>
          </cell>
          <cell r="AA71">
            <v>0.12805106232660357</v>
          </cell>
          <cell r="AB71">
            <v>2.5276795159940191E-2</v>
          </cell>
          <cell r="AC71">
            <v>4.3102696695871634E-2</v>
          </cell>
          <cell r="AD71">
            <v>2.2685278139928267E-2</v>
          </cell>
          <cell r="AE71">
            <v>2.8636308015929091E-2</v>
          </cell>
          <cell r="AF71">
            <v>2.8014705284419961E-2</v>
          </cell>
        </row>
        <row r="72">
          <cell r="V72">
            <v>-0.13969679174384486</v>
          </cell>
          <cell r="W72">
            <v>3.608616000231879E-2</v>
          </cell>
          <cell r="X72">
            <v>3.4829304159618824E-2</v>
          </cell>
          <cell r="Y72">
            <v>3.3657052442991331E-2</v>
          </cell>
          <cell r="Z72">
            <v>3.2561140431848212E-2</v>
          </cell>
          <cell r="AA72">
            <v>0.16199457114052795</v>
          </cell>
          <cell r="AB72">
            <v>4.5417935454114211E-2</v>
          </cell>
          <cell r="AC72">
            <v>4.9402781817150299E-2</v>
          </cell>
          <cell r="AD72">
            <v>3.9671299100114688E-2</v>
          </cell>
          <cell r="AE72">
            <v>4.8662026341532716E-2</v>
          </cell>
          <cell r="AF72">
            <v>6.0263139725864834E-2</v>
          </cell>
        </row>
        <row r="73">
          <cell r="V73">
            <v>0.15167290180003112</v>
          </cell>
          <cell r="W73">
            <v>3.5086034229818042E-2</v>
          </cell>
          <cell r="X73">
            <v>3.3896732319369294E-2</v>
          </cell>
          <cell r="Y73">
            <v>3.2785413919763196E-2</v>
          </cell>
          <cell r="Z73">
            <v>3.1744652352642788E-2</v>
          </cell>
          <cell r="AA73">
            <v>0.16400094980902402</v>
          </cell>
          <cell r="AB73">
            <v>5.0881657853890205E-2</v>
          </cell>
          <cell r="AC73">
            <v>3.2869267635271315E-2</v>
          </cell>
          <cell r="AD73">
            <v>3.4383902104081931E-2</v>
          </cell>
          <cell r="AE73">
            <v>2.1870110662161713E-2</v>
          </cell>
          <cell r="AF73">
            <v>2.0065272955544167E-2</v>
          </cell>
        </row>
        <row r="74">
          <cell r="V74">
            <v>1.4807395721814443E-2</v>
          </cell>
          <cell r="W74">
            <v>3.6826024579490246E-2</v>
          </cell>
          <cell r="X74">
            <v>3.5518036494527561E-2</v>
          </cell>
          <cell r="Y74">
            <v>3.4299775805706201E-2</v>
          </cell>
          <cell r="Z74">
            <v>3.3162315808294096E-2</v>
          </cell>
          <cell r="AA74">
            <v>0.11076088727785294</v>
          </cell>
          <cell r="AB74">
            <v>3.1084094291750297E-2</v>
          </cell>
          <cell r="AC74">
            <v>4.8801866819786266E-2</v>
          </cell>
          <cell r="AD74">
            <v>2.6888632139989488E-2</v>
          </cell>
          <cell r="AE74">
            <v>3.0965371261757912E-2</v>
          </cell>
          <cell r="AF74">
            <v>3.3772551049448429E-2</v>
          </cell>
        </row>
        <row r="75">
          <cell r="V75">
            <v>-0.12294159141872529</v>
          </cell>
          <cell r="W75">
            <v>3.52511927953989E-2</v>
          </cell>
          <cell r="X75">
            <v>3.4050859386322685E-2</v>
          </cell>
          <cell r="Y75">
            <v>3.2929578924719705E-2</v>
          </cell>
          <cell r="Z75">
            <v>3.1879790836260469E-2</v>
          </cell>
          <cell r="AA75">
            <v>0.1124418301393888</v>
          </cell>
          <cell r="AB75">
            <v>4.2772673270654815E-2</v>
          </cell>
          <cell r="AC75">
            <v>3.7387257023418163E-2</v>
          </cell>
          <cell r="AD75">
            <v>3.507561705124651E-2</v>
          </cell>
          <cell r="AE75">
            <v>4.3709687087096993E-2</v>
          </cell>
          <cell r="AF75">
            <v>5.4537388372739803E-2</v>
          </cell>
        </row>
        <row r="76">
          <cell r="V76">
            <v>4.0367433853634838E-2</v>
          </cell>
          <cell r="W76">
            <v>3.7472465868011895E-2</v>
          </cell>
          <cell r="X76">
            <v>3.6118997950115306E-2</v>
          </cell>
          <cell r="Y76">
            <v>3.485989352726282E-2</v>
          </cell>
          <cell r="Z76">
            <v>3.3685616521919703E-2</v>
          </cell>
          <cell r="AA76">
            <v>0.16902565083403354</v>
          </cell>
          <cell r="AB76">
            <v>5.6271599324292376E-2</v>
          </cell>
          <cell r="AC76">
            <v>4.3070977674558808E-2</v>
          </cell>
          <cell r="AD76">
            <v>3.5168412722771158E-2</v>
          </cell>
          <cell r="AE76">
            <v>3.3701604836791743E-2</v>
          </cell>
          <cell r="AF76">
            <v>3.4208806373563938E-2</v>
          </cell>
        </row>
        <row r="77">
          <cell r="V77">
            <v>-1.2274800563225607E-3</v>
          </cell>
          <cell r="W77">
            <v>3.4357852336749595E-2</v>
          </cell>
          <cell r="X77">
            <v>3.3216601255651845E-2</v>
          </cell>
          <cell r="Y77">
            <v>3.2148729719690294E-2</v>
          </cell>
          <cell r="Z77">
            <v>3.1147380986867423E-2</v>
          </cell>
          <cell r="AA77">
            <v>9.66593149468149E-2</v>
          </cell>
          <cell r="AB77">
            <v>2.9821126055764591E-2</v>
          </cell>
          <cell r="AC77">
            <v>3.9586337043440167E-2</v>
          </cell>
          <cell r="AD77">
            <v>2.0634998891218448E-2</v>
          </cell>
          <cell r="AE77">
            <v>3.2631380710011371E-2</v>
          </cell>
          <cell r="AF77">
            <v>3.3444070114480473E-2</v>
          </cell>
        </row>
        <row r="78">
          <cell r="V78">
            <v>-0.11696986368911244</v>
          </cell>
          <cell r="W78">
            <v>3.6092959529943069E-2</v>
          </cell>
          <cell r="X78">
            <v>3.4835638248442269E-2</v>
          </cell>
          <cell r="Y78">
            <v>3.3662967297332536E-2</v>
          </cell>
          <cell r="Z78">
            <v>3.2566676336795997E-2</v>
          </cell>
          <cell r="AA78">
            <v>9.8329438655990531E-2</v>
          </cell>
          <cell r="AB78">
            <v>4.7559290042712199E-2</v>
          </cell>
          <cell r="AC78">
            <v>4.996391413304857E-2</v>
          </cell>
          <cell r="AD78">
            <v>3.7826287592621188E-2</v>
          </cell>
          <cell r="AE78">
            <v>4.1872856009710802E-2</v>
          </cell>
          <cell r="AF78">
            <v>5.4174744525881557E-2</v>
          </cell>
        </row>
        <row r="79">
          <cell r="V79">
            <v>6.9413671465349047E-2</v>
          </cell>
          <cell r="W79">
            <v>3.4820582821711632E-2</v>
          </cell>
          <cell r="X79">
            <v>3.364890822599631E-2</v>
          </cell>
          <cell r="Y79">
            <v>3.2553517890053341E-2</v>
          </cell>
          <cell r="Z79">
            <v>3.152719672737847E-2</v>
          </cell>
          <cell r="AA79">
            <v>0.16629246997499725</v>
          </cell>
          <cell r="AB79">
            <v>5.1534799070358517E-2</v>
          </cell>
          <cell r="AC79">
            <v>3.9657051131335885E-2</v>
          </cell>
          <cell r="AD79">
            <v>3.2348294645827558E-2</v>
          </cell>
          <cell r="AE79">
            <v>2.8590297324370795E-2</v>
          </cell>
          <cell r="AF79">
            <v>2.879156401752625E-2</v>
          </cell>
        </row>
        <row r="80">
          <cell r="V80">
            <v>-8.7981959532498211E-3</v>
          </cell>
          <cell r="W80">
            <v>3.5181020698613841E-2</v>
          </cell>
          <cell r="X80">
            <v>3.3985380329766723E-2</v>
          </cell>
          <cell r="Y80">
            <v>3.2868337382998547E-2</v>
          </cell>
          <cell r="Z80">
            <v>3.1822388385247757E-2</v>
          </cell>
          <cell r="AA80">
            <v>0.10027878276713631</v>
          </cell>
          <cell r="AB80">
            <v>3.012221688007144E-2</v>
          </cell>
          <cell r="AC80">
            <v>4.0441423382544972E-2</v>
          </cell>
          <cell r="AD80">
            <v>2.2187203854321602E-2</v>
          </cell>
          <cell r="AE80">
            <v>3.1157502131744286E-2</v>
          </cell>
          <cell r="AF80">
            <v>3.5079706884911799E-2</v>
          </cell>
        </row>
        <row r="81">
          <cell r="V81">
            <v>-0.13066617521600821</v>
          </cell>
          <cell r="W81">
            <v>3.4880561496818618E-2</v>
          </cell>
          <cell r="X81">
            <v>3.3704915131826718E-2</v>
          </cell>
          <cell r="Y81">
            <v>3.2605934864427422E-2</v>
          </cell>
          <cell r="Z81">
            <v>3.1576358186145681E-2</v>
          </cell>
          <cell r="AA81">
            <v>0.10416963986174377</v>
          </cell>
          <cell r="AB81">
            <v>4.2281003257143679E-2</v>
          </cell>
          <cell r="AC81">
            <v>4.3400757336296225E-2</v>
          </cell>
          <cell r="AD81">
            <v>3.8712312280178907E-2</v>
          </cell>
          <cell r="AE81">
            <v>4.515507303030919E-2</v>
          </cell>
          <cell r="AF81">
            <v>5.5837637775689952E-2</v>
          </cell>
        </row>
        <row r="82">
          <cell r="V82">
            <v>-2.0774207330095051E-2</v>
          </cell>
          <cell r="W82">
            <v>3.4910712931074839E-2</v>
          </cell>
          <cell r="X82">
            <v>3.3733067495456348E-2</v>
          </cell>
          <cell r="Y82">
            <v>3.2632280572369998E-2</v>
          </cell>
          <cell r="Z82">
            <v>3.1601065729119027E-2</v>
          </cell>
          <cell r="AA82">
            <v>0.12726312068535717</v>
          </cell>
          <cell r="AB82">
            <v>4.7771783185338812E-2</v>
          </cell>
          <cell r="AC82">
            <v>3.9435274381073082E-2</v>
          </cell>
          <cell r="AD82">
            <v>3.403026719425406E-2</v>
          </cell>
          <cell r="AE82">
            <v>3.7102189085251425E-2</v>
          </cell>
          <cell r="AF82">
            <v>3.8765254033880536E-2</v>
          </cell>
        </row>
      </sheetData>
      <sheetData sheetId="7"/>
      <sheetData sheetId="8">
        <row r="4">
          <cell r="B4">
            <v>0</v>
          </cell>
        </row>
        <row r="5">
          <cell r="B5">
            <v>-0.1144356966</v>
          </cell>
        </row>
        <row r="7">
          <cell r="B7">
            <v>4.1488544500000002E-2</v>
          </cell>
        </row>
        <row r="8">
          <cell r="B8">
            <v>-3.5114E-6</v>
          </cell>
        </row>
        <row r="9">
          <cell r="B9">
            <v>0</v>
          </cell>
        </row>
        <row r="10">
          <cell r="B10">
            <v>0.3505128213</v>
          </cell>
        </row>
        <row r="11">
          <cell r="B11">
            <v>-3.8171900000000002E-2</v>
          </cell>
        </row>
        <row r="12">
          <cell r="B12">
            <v>-0.29658646910000003</v>
          </cell>
        </row>
        <row r="13">
          <cell r="B13">
            <v>-0.16417324480000001</v>
          </cell>
        </row>
        <row r="17">
          <cell r="B17">
            <v>0</v>
          </cell>
        </row>
        <row r="18">
          <cell r="B18">
            <v>0.1006352177</v>
          </cell>
        </row>
        <row r="19">
          <cell r="B19">
            <v>0.38843124130000001</v>
          </cell>
        </row>
        <row r="21">
          <cell r="B21">
            <v>7.3331014329000004</v>
          </cell>
        </row>
        <row r="25">
          <cell r="E25">
            <v>11962.992</v>
          </cell>
        </row>
        <row r="26">
          <cell r="E26">
            <v>7732.3159999999998</v>
          </cell>
        </row>
        <row r="27">
          <cell r="E27">
            <v>7746.8410000000003</v>
          </cell>
        </row>
        <row r="28">
          <cell r="E28">
            <v>8400.9969999999994</v>
          </cell>
        </row>
        <row r="29">
          <cell r="E29">
            <v>5626.2129999999997</v>
          </cell>
        </row>
        <row r="30">
          <cell r="E30">
            <v>6118.5969999999998</v>
          </cell>
        </row>
        <row r="31">
          <cell r="E31">
            <v>12357.316000000001</v>
          </cell>
        </row>
        <row r="32">
          <cell r="E32">
            <v>5057.7219999999998</v>
          </cell>
        </row>
        <row r="33">
          <cell r="E33">
            <v>9433.9060000000009</v>
          </cell>
        </row>
        <row r="34">
          <cell r="E34">
            <v>13631.43</v>
          </cell>
        </row>
        <row r="35">
          <cell r="E35">
            <v>5664.375</v>
          </cell>
        </row>
        <row r="36">
          <cell r="E36">
            <v>9299.8590000000004</v>
          </cell>
        </row>
        <row r="37">
          <cell r="E37">
            <v>13166.786</v>
          </cell>
        </row>
        <row r="38">
          <cell r="E38">
            <v>5015.384</v>
          </cell>
        </row>
        <row r="39">
          <cell r="E39">
            <v>7559.58</v>
          </cell>
        </row>
        <row r="40">
          <cell r="E40">
            <v>10804.436</v>
          </cell>
        </row>
        <row r="42">
          <cell r="E42">
            <v>7512.0680000000002</v>
          </cell>
        </row>
        <row r="43">
          <cell r="E43">
            <v>13350.155000000001</v>
          </cell>
        </row>
        <row r="44">
          <cell r="E44">
            <v>8295.4230000000007</v>
          </cell>
        </row>
        <row r="45">
          <cell r="E45">
            <v>7553.1419999999998</v>
          </cell>
        </row>
        <row r="46">
          <cell r="E46">
            <v>10525.300999999999</v>
          </cell>
        </row>
        <row r="47">
          <cell r="E47">
            <v>6306.1170000000002</v>
          </cell>
        </row>
        <row r="48">
          <cell r="E48">
            <v>6602.5370000000003</v>
          </cell>
        </row>
        <row r="49">
          <cell r="E49">
            <v>10109.228999999999</v>
          </cell>
        </row>
        <row r="50">
          <cell r="E50">
            <v>7267.6909999999998</v>
          </cell>
        </row>
        <row r="51">
          <cell r="E51">
            <v>6844.66</v>
          </cell>
        </row>
        <row r="52">
          <cell r="E52">
            <v>7017.7349999999997</v>
          </cell>
        </row>
        <row r="53">
          <cell r="E53">
            <v>4190.0569999999998</v>
          </cell>
        </row>
        <row r="54">
          <cell r="E54">
            <v>4264.1369999999997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DFC8-78CC-43BF-B89B-287ABB3773DE}">
  <sheetPr>
    <tabColor theme="1"/>
  </sheetPr>
  <dimension ref="B2:D16"/>
  <sheetViews>
    <sheetView showGridLines="0" tabSelected="1" workbookViewId="0">
      <selection activeCell="T1" sqref="T1"/>
    </sheetView>
  </sheetViews>
  <sheetFormatPr defaultRowHeight="15" x14ac:dyDescent="0.25"/>
  <cols>
    <col min="1" max="1" width="9.140625" style="6"/>
    <col min="2" max="2" width="32.85546875" style="6" customWidth="1"/>
    <col min="3" max="3" width="9.140625" style="6"/>
    <col min="4" max="4" width="71.7109375" style="6" customWidth="1"/>
    <col min="5" max="16384" width="9.140625" style="6"/>
  </cols>
  <sheetData>
    <row r="2" spans="2:4" ht="63.75" x14ac:dyDescent="1">
      <c r="B2" s="5" t="s">
        <v>15</v>
      </c>
    </row>
    <row r="3" spans="2:4" ht="21" x14ac:dyDescent="0.35">
      <c r="B3" s="7" t="s">
        <v>16</v>
      </c>
    </row>
    <row r="4" spans="2:4" x14ac:dyDescent="0.25">
      <c r="B4" s="8"/>
      <c r="D4" s="8"/>
    </row>
    <row r="5" spans="2:4" x14ac:dyDescent="0.25">
      <c r="B5" s="8" t="s">
        <v>17</v>
      </c>
      <c r="D5" s="8"/>
    </row>
    <row r="6" spans="2:4" x14ac:dyDescent="0.25">
      <c r="B6" s="8" t="s">
        <v>18</v>
      </c>
      <c r="D6" s="8"/>
    </row>
    <row r="7" spans="2:4" x14ac:dyDescent="0.25">
      <c r="B7" s="8"/>
      <c r="D7" s="8"/>
    </row>
    <row r="8" spans="2:4" x14ac:dyDescent="0.25">
      <c r="B8" s="8"/>
      <c r="D8" s="8"/>
    </row>
    <row r="9" spans="2:4" s="10" customFormat="1" x14ac:dyDescent="0.25">
      <c r="B9" s="9" t="s">
        <v>19</v>
      </c>
      <c r="C9" s="6"/>
      <c r="D9" s="8"/>
    </row>
    <row r="10" spans="2:4" x14ac:dyDescent="0.25">
      <c r="B10" s="11" t="s">
        <v>20</v>
      </c>
      <c r="C10" s="11" t="s">
        <v>21</v>
      </c>
      <c r="D10" s="11" t="s">
        <v>22</v>
      </c>
    </row>
    <row r="11" spans="2:4" x14ac:dyDescent="0.25">
      <c r="B11" s="8" t="s">
        <v>23</v>
      </c>
      <c r="C11" s="12" t="s">
        <v>24</v>
      </c>
      <c r="D11" s="8"/>
    </row>
    <row r="12" spans="2:4" x14ac:dyDescent="0.25">
      <c r="B12" s="8" t="s">
        <v>25</v>
      </c>
      <c r="C12" s="13" t="s">
        <v>26</v>
      </c>
      <c r="D12" s="8"/>
    </row>
    <row r="13" spans="2:4" x14ac:dyDescent="0.25">
      <c r="B13" s="8" t="s">
        <v>27</v>
      </c>
      <c r="C13" s="14" t="s">
        <v>28</v>
      </c>
      <c r="D13" s="8" t="s">
        <v>29</v>
      </c>
    </row>
    <row r="14" spans="2:4" x14ac:dyDescent="0.25">
      <c r="B14" s="8" t="s">
        <v>30</v>
      </c>
      <c r="C14" s="15" t="s">
        <v>31</v>
      </c>
      <c r="D14" s="8" t="s">
        <v>32</v>
      </c>
    </row>
    <row r="15" spans="2:4" x14ac:dyDescent="0.25">
      <c r="B15" s="8" t="s">
        <v>33</v>
      </c>
      <c r="C15" s="16" t="s">
        <v>34</v>
      </c>
      <c r="D15" s="8"/>
    </row>
    <row r="16" spans="2:4" x14ac:dyDescent="0.25">
      <c r="B16" s="8" t="s">
        <v>35</v>
      </c>
      <c r="C16" s="1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6127-7BAE-4AD2-8B7B-ACD52EBCBF0E}">
  <dimension ref="A1:E331"/>
  <sheetViews>
    <sheetView workbookViewId="0">
      <selection activeCell="P1" sqref="P1"/>
    </sheetView>
  </sheetViews>
  <sheetFormatPr defaultRowHeight="15" customHeight="1" x14ac:dyDescent="0.25"/>
  <cols>
    <col min="1" max="2" width="9.140625" style="3"/>
    <col min="3" max="4" width="14.140625" style="3" customWidth="1"/>
    <col min="5" max="15" width="19.42578125" style="3" customWidth="1"/>
    <col min="16" max="16384" width="9.140625" style="3"/>
  </cols>
  <sheetData>
    <row r="1" spans="1:5" ht="15" customHeight="1" x14ac:dyDescent="0.25">
      <c r="A1" s="4" t="s">
        <v>0</v>
      </c>
      <c r="B1" s="4" t="s">
        <v>1</v>
      </c>
      <c r="C1" s="4" t="s">
        <v>12</v>
      </c>
      <c r="D1" s="4" t="s">
        <v>13</v>
      </c>
      <c r="E1" s="4" t="s">
        <v>14</v>
      </c>
    </row>
    <row r="2" spans="1:5" ht="15" customHeight="1" x14ac:dyDescent="0.25">
      <c r="A2" s="1" t="s">
        <v>2</v>
      </c>
      <c r="B2" s="2" t="s">
        <v>3</v>
      </c>
      <c r="C2" s="2" t="s">
        <v>4</v>
      </c>
      <c r="D2" s="18">
        <v>2026</v>
      </c>
      <c r="E2" s="19">
        <f>[1]Disability!W$65*EXP('[1]Input data'!$B$4+'[1]Input data'!$B$7+(1+[1]Income!V$65)*'[1]Input data'!$B$8*'[1]Input data'!$E$25+'[1]Input data'!$B$9+'[1]Input data'!$B$17+'[1]Input data'!$B$21)</f>
        <v>38559349.807052933</v>
      </c>
    </row>
    <row r="3" spans="1:5" ht="15" customHeight="1" x14ac:dyDescent="0.25">
      <c r="A3" s="1" t="s">
        <v>2</v>
      </c>
      <c r="B3" s="2" t="s">
        <v>3</v>
      </c>
      <c r="C3" s="2" t="s">
        <v>5</v>
      </c>
      <c r="D3" s="18">
        <v>2026</v>
      </c>
      <c r="E3" s="19">
        <f>[1]Disability!W$66*EXP('[1]Input data'!$B$4+'[1]Input data'!$B$7+(1+[1]Income!V$66)*'[1]Input data'!$B$8*'[1]Input data'!$E$26+'[1]Input data'!$B$9+'[1]Input data'!$B$18+'[1]Input data'!$B$21)</f>
        <v>68790058.510896742</v>
      </c>
    </row>
    <row r="4" spans="1:5" ht="15" customHeight="1" x14ac:dyDescent="0.25">
      <c r="A4" s="1" t="s">
        <v>2</v>
      </c>
      <c r="B4" s="2" t="s">
        <v>3</v>
      </c>
      <c r="C4" s="2" t="s">
        <v>6</v>
      </c>
      <c r="D4" s="18">
        <v>2026</v>
      </c>
      <c r="E4" s="19">
        <f>[1]Disability!W$67*EXP('[1]Input data'!$B$4+'[1]Input data'!$B$7+(1+[1]Income!V$67)*'[1]Input data'!$B$8*'[1]Input data'!$E$27+'[1]Input data'!$B$9+'[1]Input data'!$B$19+'[1]Input data'!$B$21)</f>
        <v>96638156.680462837</v>
      </c>
    </row>
    <row r="5" spans="1:5" ht="15" customHeight="1" x14ac:dyDescent="0.25">
      <c r="A5" s="1" t="s">
        <v>2</v>
      </c>
      <c r="B5" s="2" t="s">
        <v>7</v>
      </c>
      <c r="C5" s="2" t="s">
        <v>4</v>
      </c>
      <c r="D5" s="18">
        <v>2026</v>
      </c>
      <c r="E5" s="19">
        <f>[1]Disability!W$68*EXP('[1]Input data'!$B$5+'[1]Input data'!$B$7+(1+[1]Income!V$68)*'[1]Input data'!$B$8*'[1]Input data'!$E$28+'[1]Input data'!$B$9+'[1]Input data'!$B$17+'[1]Input data'!$B$21)</f>
        <v>33092687.76251591</v>
      </c>
    </row>
    <row r="6" spans="1:5" ht="15" customHeight="1" x14ac:dyDescent="0.25">
      <c r="A6" s="1" t="s">
        <v>2</v>
      </c>
      <c r="B6" s="2" t="s">
        <v>7</v>
      </c>
      <c r="C6" s="2" t="s">
        <v>5</v>
      </c>
      <c r="D6" s="18">
        <v>2026</v>
      </c>
      <c r="E6" s="19">
        <f>[1]Disability!W$69*EXP('[1]Input data'!$B$5+'[1]Input data'!$B$7+(1+[1]Income!V$69)*'[1]Input data'!$B$8*'[1]Input data'!$E$29+'[1]Input data'!$B$9+'[1]Input data'!$B$18+'[1]Input data'!$B$21)</f>
        <v>68031396.755265087</v>
      </c>
    </row>
    <row r="7" spans="1:5" ht="15" customHeight="1" x14ac:dyDescent="0.25">
      <c r="A7" s="1" t="s">
        <v>2</v>
      </c>
      <c r="B7" s="2" t="s">
        <v>7</v>
      </c>
      <c r="C7" s="2" t="s">
        <v>6</v>
      </c>
      <c r="D7" s="18">
        <v>2026</v>
      </c>
      <c r="E7" s="19">
        <f>[1]Disability!W$70*EXP('[1]Input data'!$B$5+'[1]Input data'!$B$7+(1+[1]Income!V$70)*'[1]Input data'!$B$8*'[1]Input data'!$E$30+'[1]Input data'!$B$9+'[1]Input data'!$B$19+'[1]Input data'!$B$21)</f>
        <v>70249104.514218405</v>
      </c>
    </row>
    <row r="8" spans="1:5" ht="15" customHeight="1" x14ac:dyDescent="0.25">
      <c r="A8" s="2" t="s">
        <v>8</v>
      </c>
      <c r="B8" s="2" t="s">
        <v>3</v>
      </c>
      <c r="C8" s="2" t="s">
        <v>4</v>
      </c>
      <c r="D8" s="18">
        <v>2026</v>
      </c>
      <c r="E8" s="19">
        <f>[1]Disability!W$71*EXP('[1]Input data'!$B$4+'[1]Input data'!$B$7+(1+[1]Income!V$71)*'[1]Input data'!$B$8*'[1]Input data'!$E$31+'[1]Input data'!$B$10+'[1]Input data'!$B$17+'[1]Input data'!$B$21)</f>
        <v>77772053.679927096</v>
      </c>
    </row>
    <row r="9" spans="1:5" ht="15" customHeight="1" x14ac:dyDescent="0.25">
      <c r="A9" s="2" t="s">
        <v>8</v>
      </c>
      <c r="B9" s="2" t="s">
        <v>3</v>
      </c>
      <c r="C9" s="2" t="s">
        <v>5</v>
      </c>
      <c r="D9" s="18">
        <v>2026</v>
      </c>
      <c r="E9" s="19">
        <f>[1]Disability!W$72*EXP('[1]Input data'!$B$4+'[1]Input data'!$B$7+(1+[1]Income!V$72)*'[1]Input data'!$B$8*'[1]Input data'!$E$32+'[1]Input data'!$B$10+'[1]Input data'!$B$18+'[1]Input data'!$B$21)</f>
        <v>150653147.65163332</v>
      </c>
    </row>
    <row r="10" spans="1:5" ht="15" customHeight="1" x14ac:dyDescent="0.25">
      <c r="A10" s="2" t="s">
        <v>8</v>
      </c>
      <c r="B10" s="2" t="s">
        <v>3</v>
      </c>
      <c r="C10" s="2" t="s">
        <v>6</v>
      </c>
      <c r="D10" s="18">
        <v>2026</v>
      </c>
      <c r="E10" s="19">
        <f>[1]Disability!W$73*EXP('[1]Input data'!$B$4+'[1]Input data'!$B$7+(1+[1]Income!V$73)*'[1]Input data'!$B$8*'[1]Input data'!$E$33+'[1]Input data'!$B$10+'[1]Input data'!$B$19+'[1]Input data'!$B$21)</f>
        <v>222701900.45144922</v>
      </c>
    </row>
    <row r="11" spans="1:5" ht="15" customHeight="1" x14ac:dyDescent="0.25">
      <c r="A11" s="2" t="s">
        <v>8</v>
      </c>
      <c r="B11" s="2" t="s">
        <v>7</v>
      </c>
      <c r="C11" s="2" t="s">
        <v>4</v>
      </c>
      <c r="D11" s="18">
        <v>2026</v>
      </c>
      <c r="E11" s="19">
        <f>[1]Disability!W$74*EXP('[1]Input data'!$B$5+'[1]Input data'!$B$7+(1+[1]Income!V$74)*'[1]Input data'!$B$8*'[1]Input data'!$E$34+'[1]Input data'!$B$10+'[1]Input data'!$B$17+'[1]Input data'!$B$21)</f>
        <v>71780776.344295293</v>
      </c>
    </row>
    <row r="12" spans="1:5" ht="15" customHeight="1" x14ac:dyDescent="0.25">
      <c r="A12" s="2" t="s">
        <v>8</v>
      </c>
      <c r="B12" s="2" t="s">
        <v>7</v>
      </c>
      <c r="C12" s="2" t="s">
        <v>5</v>
      </c>
      <c r="D12" s="18">
        <v>2026</v>
      </c>
      <c r="E12" s="19">
        <f>[1]Disability!W$75*EXP('[1]Input data'!$B$5+'[1]Input data'!$B$7+(1+[1]Income!V$75)*'[1]Input data'!$B$8*'[1]Input data'!$E$35+'[1]Input data'!$B$10+'[1]Input data'!$B$18+'[1]Input data'!$B$21)</f>
        <v>158032682.79296187</v>
      </c>
    </row>
    <row r="13" spans="1:5" ht="15" customHeight="1" x14ac:dyDescent="0.25">
      <c r="A13" s="2" t="s">
        <v>8</v>
      </c>
      <c r="B13" s="2" t="s">
        <v>7</v>
      </c>
      <c r="C13" s="2" t="s">
        <v>6</v>
      </c>
      <c r="D13" s="18">
        <v>2026</v>
      </c>
      <c r="E13" s="19">
        <f>[1]Disability!W$76*EXP('[1]Input data'!$B$5+'[1]Input data'!$B$7+(1+[1]Income!V$76)*'[1]Input data'!$B$8*'[1]Input data'!$E$36+'[1]Input data'!$B$10+'[1]Input data'!$B$19+'[1]Input data'!$B$21)</f>
        <v>224755024.34543622</v>
      </c>
    </row>
    <row r="14" spans="1:5" ht="15" customHeight="1" x14ac:dyDescent="0.25">
      <c r="A14" s="2" t="s">
        <v>9</v>
      </c>
      <c r="B14" s="2" t="s">
        <v>3</v>
      </c>
      <c r="C14" s="2" t="s">
        <v>4</v>
      </c>
      <c r="D14" s="18">
        <v>2026</v>
      </c>
      <c r="E14" s="19">
        <f>[1]Disability!W$77*EXP('[1]Input data'!$B$4+'[1]Input data'!$B$7+(1+[1]Income!V$77)*'[1]Input data'!$B$8*'[1]Input data'!$E$37+'[1]Input data'!$B$11+'[1]Input data'!$B$17+'[1]Input data'!$B$21)</f>
        <v>46234075.635136001</v>
      </c>
    </row>
    <row r="15" spans="1:5" ht="15" customHeight="1" x14ac:dyDescent="0.25">
      <c r="A15" s="2" t="s">
        <v>9</v>
      </c>
      <c r="B15" s="2" t="s">
        <v>3</v>
      </c>
      <c r="C15" s="2" t="s">
        <v>5</v>
      </c>
      <c r="D15" s="18">
        <v>2026</v>
      </c>
      <c r="E15" s="19">
        <f>[1]Disability!W$78*EXP('[1]Input data'!$B$4+'[1]Input data'!$B$7+(1+[1]Income!V$78)*'[1]Input data'!$B$8*'[1]Input data'!$E$38+'[1]Input data'!$B$11+'[1]Input data'!$B$18+'[1]Input data'!$B$21)</f>
        <v>84467506.014908448</v>
      </c>
    </row>
    <row r="16" spans="1:5" ht="15" customHeight="1" x14ac:dyDescent="0.25">
      <c r="A16" s="2" t="s">
        <v>9</v>
      </c>
      <c r="B16" s="2" t="s">
        <v>3</v>
      </c>
      <c r="C16" s="2" t="s">
        <v>6</v>
      </c>
      <c r="D16" s="18">
        <v>2026</v>
      </c>
      <c r="E16" s="19">
        <f>[1]Disability!W$79*EXP('[1]Input data'!$B$4+'[1]Input data'!$B$7+(1+[1]Income!V$79)*'[1]Input data'!$B$8*'[1]Input data'!$E$39+'[1]Input data'!$B$11+'[1]Input data'!$B$19+'[1]Input data'!$B$21)</f>
        <v>119362019.66896224</v>
      </c>
    </row>
    <row r="17" spans="1:5" ht="15" customHeight="1" x14ac:dyDescent="0.25">
      <c r="A17" s="2" t="s">
        <v>9</v>
      </c>
      <c r="B17" s="2" t="s">
        <v>7</v>
      </c>
      <c r="C17" s="2" t="s">
        <v>4</v>
      </c>
      <c r="D17" s="18">
        <v>2026</v>
      </c>
      <c r="E17" s="19">
        <f>[1]Disability!W$80*EXP('[1]Input data'!$B$5+'[1]Input data'!$B$7+(1+[1]Income!V$80)*'[1]Input data'!$B$8*'[1]Input data'!$E$40+'[1]Input data'!$B$11+'[1]Input data'!$B$17+'[1]Input data'!$B$21)</f>
        <v>55993399.831151903</v>
      </c>
    </row>
    <row r="18" spans="1:5" ht="15" customHeight="1" x14ac:dyDescent="0.25">
      <c r="A18" s="2" t="s">
        <v>9</v>
      </c>
      <c r="B18" s="2" t="s">
        <v>7</v>
      </c>
      <c r="C18" s="2" t="s">
        <v>5</v>
      </c>
      <c r="D18" s="18">
        <v>2026</v>
      </c>
      <c r="E18" s="19">
        <f>[1]Disability!W$81*EXP('[1]Input data'!$B$5+'[1]Input data'!$B$7+(1+[1]Income!V$81)*'[1]Input data'!$B$8*'[1]Input data'!$E$38+'[1]Input data'!$B$11+'[1]Input data'!$B$18+'[1]Input data'!$B$21)</f>
        <v>119543695.56462567</v>
      </c>
    </row>
    <row r="19" spans="1:5" ht="15" customHeight="1" x14ac:dyDescent="0.25">
      <c r="A19" s="2" t="s">
        <v>9</v>
      </c>
      <c r="B19" s="2" t="s">
        <v>7</v>
      </c>
      <c r="C19" s="2" t="s">
        <v>6</v>
      </c>
      <c r="D19" s="18">
        <v>2026</v>
      </c>
      <c r="E19" s="19">
        <f>[1]Disability!W$82*EXP('[1]Input data'!$B$5+'[1]Input data'!$B$7+(1+[1]Income!V$82)*'[1]Input data'!$B$8*'[1]Input data'!$E$42+'[1]Input data'!$B$11+'[1]Input data'!$B$19+'[1]Input data'!$B$21)</f>
        <v>156526407.74422607</v>
      </c>
    </row>
    <row r="20" spans="1:5" ht="15" customHeight="1" x14ac:dyDescent="0.25">
      <c r="A20" s="2" t="s">
        <v>10</v>
      </c>
      <c r="B20" s="2" t="s">
        <v>3</v>
      </c>
      <c r="C20" s="2" t="s">
        <v>4</v>
      </c>
      <c r="D20" s="18">
        <v>2026</v>
      </c>
      <c r="E20" s="19">
        <f>[1]Disability!W$83*EXP('[1]Input data'!$B$4+'[1]Input data'!$B$7+(1+[1]Income!V$77)*'[1]Input data'!$B$8*'[1]Input data'!$E$43+'[1]Input data'!$B$12+'[1]Input data'!$B$17+'[1]Input data'!$B$21)</f>
        <v>20599829.018369511</v>
      </c>
    </row>
    <row r="21" spans="1:5" ht="15" customHeight="1" x14ac:dyDescent="0.25">
      <c r="A21" s="2" t="s">
        <v>10</v>
      </c>
      <c r="B21" s="2" t="s">
        <v>3</v>
      </c>
      <c r="C21" s="2" t="s">
        <v>5</v>
      </c>
      <c r="D21" s="18">
        <v>2026</v>
      </c>
      <c r="E21" s="19">
        <f>[1]Disability!W$84*EXP('[1]Input data'!$B$4+'[1]Input data'!$B$7+(1+[1]Income!V$78)*'[1]Input data'!$B$8*'[1]Input data'!$E$44+'[1]Input data'!$B$12+'[1]Input data'!$B$18+'[1]Input data'!$B$21)</f>
        <v>43274311.973868996</v>
      </c>
    </row>
    <row r="22" spans="1:5" ht="15" customHeight="1" x14ac:dyDescent="0.25">
      <c r="A22" s="2" t="s">
        <v>10</v>
      </c>
      <c r="B22" s="2" t="s">
        <v>3</v>
      </c>
      <c r="C22" s="2" t="s">
        <v>6</v>
      </c>
      <c r="D22" s="18">
        <v>2026</v>
      </c>
      <c r="E22" s="19">
        <f>[1]Disability!W$85*EXP('[1]Input data'!$B$4+'[1]Input data'!$B$7+(1+[1]Income!V$79)*'[1]Input data'!$B$8*'[1]Input data'!$E$45+'[1]Input data'!$B$12+'[1]Input data'!$B$19+'[1]Input data'!$B$21)</f>
        <v>63022299.574989676</v>
      </c>
    </row>
    <row r="23" spans="1:5" ht="15" customHeight="1" x14ac:dyDescent="0.25">
      <c r="A23" s="2" t="s">
        <v>10</v>
      </c>
      <c r="B23" s="2" t="s">
        <v>7</v>
      </c>
      <c r="C23" s="2" t="s">
        <v>4</v>
      </c>
      <c r="D23" s="18">
        <v>2026</v>
      </c>
      <c r="E23" s="19">
        <f>[1]Disability!W$86*EXP('[1]Input data'!$B$5+'[1]Input data'!$B$7+(1+[1]Income!V$80)*'[1]Input data'!$B$8*'[1]Input data'!$E$46+'[1]Input data'!$B$12+'[1]Input data'!$B$17+'[1]Input data'!$B$21)</f>
        <v>41606160.621502653</v>
      </c>
    </row>
    <row r="24" spans="1:5" ht="15" customHeight="1" x14ac:dyDescent="0.25">
      <c r="A24" s="2" t="s">
        <v>10</v>
      </c>
      <c r="B24" s="2" t="s">
        <v>7</v>
      </c>
      <c r="C24" s="2" t="s">
        <v>5</v>
      </c>
      <c r="D24" s="18">
        <v>2026</v>
      </c>
      <c r="E24" s="19">
        <f>[1]Disability!W$87*EXP('[1]Input data'!$B$5+'[1]Input data'!$B$7+(1+[1]Income!V$81)*'[1]Input data'!$B$8*'[1]Input data'!$E$47+'[1]Input data'!$B$12+'[1]Input data'!$B$18+'[1]Input data'!$B$21)</f>
        <v>93520139.639951557</v>
      </c>
    </row>
    <row r="25" spans="1:5" ht="15" customHeight="1" x14ac:dyDescent="0.25">
      <c r="A25" s="2" t="s">
        <v>10</v>
      </c>
      <c r="B25" s="2" t="s">
        <v>7</v>
      </c>
      <c r="C25" s="2" t="s">
        <v>6</v>
      </c>
      <c r="D25" s="18">
        <v>2026</v>
      </c>
      <c r="E25" s="19">
        <f>[1]Disability!W$88*EXP('[1]Input data'!$B$5+'[1]Input data'!$B$7+(1+[1]Income!V$82)*'[1]Input data'!$B$8*'[1]Input data'!$E$48+'[1]Input data'!$B$12+'[1]Input data'!$B$19+'[1]Input data'!$B$21)</f>
        <v>141194546.81044409</v>
      </c>
    </row>
    <row r="26" spans="1:5" ht="15" customHeight="1" x14ac:dyDescent="0.25">
      <c r="A26" s="2" t="s">
        <v>11</v>
      </c>
      <c r="B26" s="2" t="s">
        <v>3</v>
      </c>
      <c r="C26" s="2" t="s">
        <v>4</v>
      </c>
      <c r="D26" s="18">
        <v>2026</v>
      </c>
      <c r="E26" s="19">
        <f>[1]Disability!W$89*EXP('[1]Input data'!$B$4+'[1]Input data'!$B$7+(1+[1]Income!V$77)*'[1]Input data'!$B$8*'[1]Input data'!$E$49+'[1]Input data'!$B$13+'[1]Input data'!$B$17+'[1]Input data'!$B$21)</f>
        <v>9096278.6466018483</v>
      </c>
    </row>
    <row r="27" spans="1:5" ht="15" customHeight="1" x14ac:dyDescent="0.25">
      <c r="A27" s="2" t="s">
        <v>11</v>
      </c>
      <c r="B27" s="2" t="s">
        <v>3</v>
      </c>
      <c r="C27" s="2" t="s">
        <v>5</v>
      </c>
      <c r="D27" s="18">
        <v>2026</v>
      </c>
      <c r="E27" s="19">
        <f>[1]Disability!W$90*EXP('[1]Input data'!$B$4+'[1]Input data'!$B$7+(1+[1]Income!V$78)*'[1]Input data'!$B$8*'[1]Input data'!$E$50+'[1]Input data'!$B$13+'[1]Input data'!$B$18+'[1]Input data'!$B$21)</f>
        <v>16782253.595801979</v>
      </c>
    </row>
    <row r="28" spans="1:5" ht="15" customHeight="1" x14ac:dyDescent="0.25">
      <c r="A28" s="2" t="s">
        <v>11</v>
      </c>
      <c r="B28" s="2" t="s">
        <v>3</v>
      </c>
      <c r="C28" s="2" t="s">
        <v>6</v>
      </c>
      <c r="D28" s="18">
        <v>2026</v>
      </c>
      <c r="E28" s="19">
        <f>[1]Disability!W$91*EXP('[1]Input data'!$B$4+'[1]Input data'!$B$7+(1+[1]Income!V$79)*'[1]Input data'!$B$8*'[1]Input data'!$E$51+'[1]Input data'!$B$13+'[1]Input data'!$B$19+'[1]Input data'!$B$21)</f>
        <v>29485487.401004937</v>
      </c>
    </row>
    <row r="29" spans="1:5" ht="15" customHeight="1" x14ac:dyDescent="0.25">
      <c r="A29" s="2" t="s">
        <v>11</v>
      </c>
      <c r="B29" s="2" t="s">
        <v>7</v>
      </c>
      <c r="C29" s="2" t="s">
        <v>4</v>
      </c>
      <c r="D29" s="18">
        <v>2026</v>
      </c>
      <c r="E29" s="19">
        <f>[1]Disability!W$92*EXP('[1]Input data'!$B$5+'[1]Input data'!$B$7+(1+[1]Income!V$80)*'[1]Input data'!$B$8*'[1]Input data'!$E$52+'[1]Input data'!$B$13+'[1]Input data'!$B$17+'[1]Input data'!$B$21)</f>
        <v>31646271.822138645</v>
      </c>
    </row>
    <row r="30" spans="1:5" ht="15" customHeight="1" x14ac:dyDescent="0.25">
      <c r="A30" s="2" t="s">
        <v>11</v>
      </c>
      <c r="B30" s="2" t="s">
        <v>7</v>
      </c>
      <c r="C30" s="2" t="s">
        <v>5</v>
      </c>
      <c r="D30" s="18">
        <v>2026</v>
      </c>
      <c r="E30" s="19">
        <f>[1]Disability!W$93*EXP('[1]Input data'!$B$5+'[1]Input data'!$B$7+(1+[1]Income!V$81)*'[1]Input data'!$B$8*'[1]Input data'!$E$53+'[1]Input data'!$B$13+'[1]Input data'!$B$18+'[1]Input data'!$B$21)</f>
        <v>53223727.014414482</v>
      </c>
    </row>
    <row r="31" spans="1:5" ht="15" customHeight="1" x14ac:dyDescent="0.25">
      <c r="A31" s="2" t="s">
        <v>11</v>
      </c>
      <c r="B31" s="2" t="s">
        <v>7</v>
      </c>
      <c r="C31" s="2" t="s">
        <v>6</v>
      </c>
      <c r="D31" s="18">
        <v>2026</v>
      </c>
      <c r="E31" s="19">
        <f>[1]Disability!W$94*EXP('[1]Input data'!$B$5+'[1]Input data'!$B$7+(1+[1]Income!V$82)*'[1]Input data'!$B$8*'[1]Input data'!$E$54+'[1]Input data'!$B$13+'[1]Input data'!$B$19+'[1]Input data'!$B$21)</f>
        <v>95575538.83281675</v>
      </c>
    </row>
    <row r="32" spans="1:5" ht="15" customHeight="1" x14ac:dyDescent="0.25">
      <c r="A32" s="1" t="s">
        <v>2</v>
      </c>
      <c r="B32" s="2" t="s">
        <v>3</v>
      </c>
      <c r="C32" s="2" t="s">
        <v>4</v>
      </c>
      <c r="D32" s="18">
        <v>2027</v>
      </c>
      <c r="E32" s="19">
        <f>[1]Disability!X$65*EXP('[1]Input data'!$B$4+'[1]Input data'!$B$7+(1+[1]Income!W$65)*'[1]Input data'!$B$8*'[1]Input data'!$E$25+'[1]Input data'!$B$9+'[1]Input data'!$B$17+'[1]Input data'!$B$21)</f>
        <v>38448856.426825546</v>
      </c>
    </row>
    <row r="33" spans="1:5" ht="15" customHeight="1" x14ac:dyDescent="0.25">
      <c r="A33" s="1" t="s">
        <v>2</v>
      </c>
      <c r="B33" s="2" t="s">
        <v>3</v>
      </c>
      <c r="C33" s="2" t="s">
        <v>5</v>
      </c>
      <c r="D33" s="18">
        <v>2027</v>
      </c>
      <c r="E33" s="19">
        <f>[1]Disability!X$66*EXP('[1]Input data'!$B$4+'[1]Input data'!$B$7+(1+[1]Income!W$66)*'[1]Input data'!$B$8*'[1]Input data'!$E$26+'[1]Input data'!$B$9+'[1]Input data'!$B$18+'[1]Input data'!$B$21)</f>
        <v>68009785.849154443</v>
      </c>
    </row>
    <row r="34" spans="1:5" ht="15" customHeight="1" x14ac:dyDescent="0.25">
      <c r="A34" s="1" t="s">
        <v>2</v>
      </c>
      <c r="B34" s="2" t="s">
        <v>3</v>
      </c>
      <c r="C34" s="2" t="s">
        <v>6</v>
      </c>
      <c r="D34" s="18">
        <v>2027</v>
      </c>
      <c r="E34" s="19">
        <f>[1]Disability!X$67*EXP('[1]Input data'!$B$4+'[1]Input data'!$B$7+(1+[1]Income!W$67)*'[1]Input data'!$B$8*'[1]Input data'!$E$27+'[1]Input data'!$B$9+'[1]Input data'!$B$19+'[1]Input data'!$B$21)</f>
        <v>96853502.246248335</v>
      </c>
    </row>
    <row r="35" spans="1:5" ht="15" customHeight="1" x14ac:dyDescent="0.25">
      <c r="A35" s="1" t="s">
        <v>2</v>
      </c>
      <c r="B35" s="2" t="s">
        <v>7</v>
      </c>
      <c r="C35" s="2" t="s">
        <v>4</v>
      </c>
      <c r="D35" s="18">
        <v>2027</v>
      </c>
      <c r="E35" s="19">
        <f>[1]Disability!X$68*EXP('[1]Input data'!$B$5+'[1]Input data'!$B$7+(1+[1]Income!W$68)*'[1]Input data'!$B$8*'[1]Input data'!$E$28+'[1]Input data'!$B$9+'[1]Input data'!$B$17+'[1]Input data'!$B$21)</f>
        <v>32961615.834186804</v>
      </c>
    </row>
    <row r="36" spans="1:5" ht="15" customHeight="1" x14ac:dyDescent="0.25">
      <c r="A36" s="1" t="s">
        <v>2</v>
      </c>
      <c r="B36" s="2" t="s">
        <v>7</v>
      </c>
      <c r="C36" s="2" t="s">
        <v>5</v>
      </c>
      <c r="D36" s="18">
        <v>2027</v>
      </c>
      <c r="E36" s="19">
        <f>[1]Disability!X$69*EXP('[1]Input data'!$B$5+'[1]Input data'!$B$7+(1+[1]Income!W$69)*'[1]Input data'!$B$8*'[1]Input data'!$E$29+'[1]Input data'!$B$9+'[1]Input data'!$B$18+'[1]Input data'!$B$21)</f>
        <v>67194475.744058624</v>
      </c>
    </row>
    <row r="37" spans="1:5" ht="15" customHeight="1" x14ac:dyDescent="0.25">
      <c r="A37" s="1" t="s">
        <v>2</v>
      </c>
      <c r="B37" s="2" t="s">
        <v>7</v>
      </c>
      <c r="C37" s="2" t="s">
        <v>6</v>
      </c>
      <c r="D37" s="18">
        <v>2027</v>
      </c>
      <c r="E37" s="19">
        <f>[1]Disability!X$70*EXP('[1]Input data'!$B$5+'[1]Input data'!$B$7+(1+[1]Income!W$70)*'[1]Input data'!$B$8*'[1]Input data'!$E$30+'[1]Input data'!$B$9+'[1]Input data'!$B$19+'[1]Input data'!$B$21)</f>
        <v>68332321.338951215</v>
      </c>
    </row>
    <row r="38" spans="1:5" ht="15" customHeight="1" x14ac:dyDescent="0.25">
      <c r="A38" s="2" t="s">
        <v>8</v>
      </c>
      <c r="B38" s="2" t="s">
        <v>3</v>
      </c>
      <c r="C38" s="2" t="s">
        <v>4</v>
      </c>
      <c r="D38" s="18">
        <v>2027</v>
      </c>
      <c r="E38" s="19">
        <f>[1]Disability!X$71*EXP('[1]Input data'!$B$4+'[1]Input data'!$B$7+(1+[1]Income!W$71)*'[1]Input data'!$B$8*'[1]Input data'!$E$31+'[1]Input data'!$B$10+'[1]Input data'!$B$17+'[1]Input data'!$B$21)</f>
        <v>78255255.520767033</v>
      </c>
    </row>
    <row r="39" spans="1:5" ht="15" customHeight="1" x14ac:dyDescent="0.25">
      <c r="A39" s="2" t="s">
        <v>8</v>
      </c>
      <c r="B39" s="2" t="s">
        <v>3</v>
      </c>
      <c r="C39" s="2" t="s">
        <v>5</v>
      </c>
      <c r="D39" s="18">
        <v>2027</v>
      </c>
      <c r="E39" s="19">
        <f>[1]Disability!X$72*EXP('[1]Input data'!$B$4+'[1]Input data'!$B$7+(1+[1]Income!W$72)*'[1]Input data'!$B$8*'[1]Input data'!$E$32+'[1]Input data'!$B$10+'[1]Input data'!$B$18+'[1]Input data'!$B$21)</f>
        <v>152185766.71799704</v>
      </c>
    </row>
    <row r="40" spans="1:5" ht="15" customHeight="1" x14ac:dyDescent="0.25">
      <c r="A40" s="2" t="s">
        <v>8</v>
      </c>
      <c r="B40" s="2" t="s">
        <v>3</v>
      </c>
      <c r="C40" s="2" t="s">
        <v>6</v>
      </c>
      <c r="D40" s="18">
        <v>2027</v>
      </c>
      <c r="E40" s="19">
        <f>[1]Disability!X$73*EXP('[1]Input data'!$B$4+'[1]Input data'!$B$7+(1+[1]Income!W$73)*'[1]Input data'!$B$8*'[1]Input data'!$E$33+'[1]Input data'!$B$10+'[1]Input data'!$B$19+'[1]Input data'!$B$21)</f>
        <v>226284535.79943839</v>
      </c>
    </row>
    <row r="41" spans="1:5" ht="15" customHeight="1" x14ac:dyDescent="0.25">
      <c r="A41" s="2" t="s">
        <v>8</v>
      </c>
      <c r="B41" s="2" t="s">
        <v>7</v>
      </c>
      <c r="C41" s="2" t="s">
        <v>4</v>
      </c>
      <c r="D41" s="18">
        <v>2027</v>
      </c>
      <c r="E41" s="19">
        <f>[1]Disability!X$74*EXP('[1]Input data'!$B$5+'[1]Input data'!$B$7+(1+[1]Income!W$74)*'[1]Input data'!$B$8*'[1]Input data'!$E$34+'[1]Input data'!$B$10+'[1]Input data'!$B$17+'[1]Input data'!$B$21)</f>
        <v>71263682.265327618</v>
      </c>
    </row>
    <row r="42" spans="1:5" ht="15" customHeight="1" x14ac:dyDescent="0.25">
      <c r="A42" s="2" t="s">
        <v>8</v>
      </c>
      <c r="B42" s="2" t="s">
        <v>7</v>
      </c>
      <c r="C42" s="2" t="s">
        <v>5</v>
      </c>
      <c r="D42" s="18">
        <v>2027</v>
      </c>
      <c r="E42" s="19">
        <f>[1]Disability!X$75*EXP('[1]Input data'!$B$5+'[1]Input data'!$B$7+(1+[1]Income!W$75)*'[1]Input data'!$B$8*'[1]Input data'!$E$35+'[1]Input data'!$B$10+'[1]Input data'!$B$18+'[1]Input data'!$B$21)</f>
        <v>157665450.19710103</v>
      </c>
    </row>
    <row r="43" spans="1:5" ht="15" customHeight="1" x14ac:dyDescent="0.25">
      <c r="A43" s="2" t="s">
        <v>8</v>
      </c>
      <c r="B43" s="2" t="s">
        <v>7</v>
      </c>
      <c r="C43" s="2" t="s">
        <v>6</v>
      </c>
      <c r="D43" s="18">
        <v>2027</v>
      </c>
      <c r="E43" s="19">
        <f>[1]Disability!X$76*EXP('[1]Input data'!$B$5+'[1]Input data'!$B$7+(1+[1]Income!W$76)*'[1]Input data'!$B$8*'[1]Input data'!$E$36+'[1]Input data'!$B$10+'[1]Input data'!$B$19+'[1]Input data'!$B$21)</f>
        <v>225449205.63380793</v>
      </c>
    </row>
    <row r="44" spans="1:5" ht="15" customHeight="1" x14ac:dyDescent="0.25">
      <c r="A44" s="2" t="s">
        <v>9</v>
      </c>
      <c r="B44" s="2" t="s">
        <v>3</v>
      </c>
      <c r="C44" s="2" t="s">
        <v>4</v>
      </c>
      <c r="D44" s="18">
        <v>2027</v>
      </c>
      <c r="E44" s="19">
        <f>[1]Disability!X$77*EXP('[1]Input data'!$B$4+'[1]Input data'!$B$7+(1+[1]Income!W$77)*'[1]Input data'!$B$8*'[1]Input data'!$E$37+'[1]Input data'!$B$11+'[1]Input data'!$B$17+'[1]Input data'!$B$21)</f>
        <v>46449645.457573853</v>
      </c>
    </row>
    <row r="45" spans="1:5" ht="15" customHeight="1" x14ac:dyDescent="0.25">
      <c r="A45" s="2" t="s">
        <v>9</v>
      </c>
      <c r="B45" s="2" t="s">
        <v>3</v>
      </c>
      <c r="C45" s="2" t="s">
        <v>5</v>
      </c>
      <c r="D45" s="18">
        <v>2027</v>
      </c>
      <c r="E45" s="19">
        <f>[1]Disability!X$78*EXP('[1]Input data'!$B$4+'[1]Input data'!$B$7+(1+[1]Income!W$78)*'[1]Input data'!$B$8*'[1]Input data'!$E$38+'[1]Input data'!$B$11+'[1]Input data'!$B$18+'[1]Input data'!$B$21)</f>
        <v>84649628.458577111</v>
      </c>
    </row>
    <row r="46" spans="1:5" ht="15" customHeight="1" x14ac:dyDescent="0.25">
      <c r="A46" s="2" t="s">
        <v>9</v>
      </c>
      <c r="B46" s="2" t="s">
        <v>3</v>
      </c>
      <c r="C46" s="2" t="s">
        <v>6</v>
      </c>
      <c r="D46" s="18">
        <v>2027</v>
      </c>
      <c r="E46" s="19">
        <f>[1]Disability!X$79*EXP('[1]Input data'!$B$4+'[1]Input data'!$B$7+(1+[1]Income!W$79)*'[1]Input data'!$B$8*'[1]Input data'!$E$39+'[1]Input data'!$B$11+'[1]Input data'!$B$19+'[1]Input data'!$B$21)</f>
        <v>119284287.28914829</v>
      </c>
    </row>
    <row r="47" spans="1:5" ht="15" customHeight="1" x14ac:dyDescent="0.25">
      <c r="A47" s="2" t="s">
        <v>9</v>
      </c>
      <c r="B47" s="2" t="s">
        <v>7</v>
      </c>
      <c r="C47" s="2" t="s">
        <v>4</v>
      </c>
      <c r="D47" s="18">
        <v>2027</v>
      </c>
      <c r="E47" s="19">
        <f>[1]Disability!X$80*EXP('[1]Input data'!$B$5+'[1]Input data'!$B$7+(1+[1]Income!W$80)*'[1]Input data'!$B$8*'[1]Input data'!$E$40+'[1]Input data'!$B$11+'[1]Input data'!$B$17+'[1]Input data'!$B$21)</f>
        <v>55285028.797439352</v>
      </c>
    </row>
    <row r="48" spans="1:5" ht="15" customHeight="1" x14ac:dyDescent="0.25">
      <c r="A48" s="2" t="s">
        <v>9</v>
      </c>
      <c r="B48" s="2" t="s">
        <v>7</v>
      </c>
      <c r="C48" s="2" t="s">
        <v>5</v>
      </c>
      <c r="D48" s="18">
        <v>2027</v>
      </c>
      <c r="E48" s="19">
        <f>[1]Disability!X$81*EXP('[1]Input data'!$B$5+'[1]Input data'!$B$7+(1+[1]Income!W$81)*'[1]Input data'!$B$8*'[1]Input data'!$E$38+'[1]Input data'!$B$11+'[1]Input data'!$B$18+'[1]Input data'!$B$21)</f>
        <v>118525280.57958944</v>
      </c>
    </row>
    <row r="49" spans="1:5" ht="15" customHeight="1" x14ac:dyDescent="0.25">
      <c r="A49" s="2" t="s">
        <v>9</v>
      </c>
      <c r="B49" s="2" t="s">
        <v>7</v>
      </c>
      <c r="C49" s="2" t="s">
        <v>6</v>
      </c>
      <c r="D49" s="18">
        <v>2027</v>
      </c>
      <c r="E49" s="19">
        <f>[1]Disability!X$82*EXP('[1]Input data'!$B$5+'[1]Input data'!$B$7+(1+[1]Income!W$82)*'[1]Input data'!$B$8*'[1]Input data'!$E$42+'[1]Input data'!$B$11+'[1]Input data'!$B$19+'[1]Input data'!$B$21)</f>
        <v>152874380.50461099</v>
      </c>
    </row>
    <row r="50" spans="1:5" ht="15" customHeight="1" x14ac:dyDescent="0.25">
      <c r="A50" s="2" t="s">
        <v>10</v>
      </c>
      <c r="B50" s="2" t="s">
        <v>3</v>
      </c>
      <c r="C50" s="2" t="s">
        <v>4</v>
      </c>
      <c r="D50" s="18">
        <v>2027</v>
      </c>
      <c r="E50" s="19">
        <f>[1]Disability!X$83*EXP('[1]Input data'!$B$4+'[1]Input data'!$B$7+(1+[1]Income!W$77)*'[1]Input data'!$B$8*'[1]Input data'!$E$43+'[1]Input data'!$B$12+'[1]Input data'!$B$17+'[1]Input data'!$B$21)</f>
        <v>20550036.972250666</v>
      </c>
    </row>
    <row r="51" spans="1:5" ht="15" customHeight="1" x14ac:dyDescent="0.25">
      <c r="A51" s="2" t="s">
        <v>10</v>
      </c>
      <c r="B51" s="2" t="s">
        <v>3</v>
      </c>
      <c r="C51" s="2" t="s">
        <v>5</v>
      </c>
      <c r="D51" s="18">
        <v>2027</v>
      </c>
      <c r="E51" s="19">
        <f>[1]Disability!X$84*EXP('[1]Input data'!$B$4+'[1]Input data'!$B$7+(1+[1]Income!W$78)*'[1]Input data'!$B$8*'[1]Input data'!$E$44+'[1]Input data'!$B$12+'[1]Input data'!$B$18+'[1]Input data'!$B$21)</f>
        <v>43433466.095766358</v>
      </c>
    </row>
    <row r="52" spans="1:5" ht="15" customHeight="1" x14ac:dyDescent="0.25">
      <c r="A52" s="2" t="s">
        <v>10</v>
      </c>
      <c r="B52" s="2" t="s">
        <v>3</v>
      </c>
      <c r="C52" s="2" t="s">
        <v>6</v>
      </c>
      <c r="D52" s="18">
        <v>2027</v>
      </c>
      <c r="E52" s="19">
        <f>[1]Disability!X$85*EXP('[1]Input data'!$B$4+'[1]Input data'!$B$7+(1+[1]Income!W$79)*'[1]Input data'!$B$8*'[1]Input data'!$E$45+'[1]Input data'!$B$12+'[1]Input data'!$B$19+'[1]Input data'!$B$21)</f>
        <v>62407313.74445647</v>
      </c>
    </row>
    <row r="53" spans="1:5" ht="15" customHeight="1" x14ac:dyDescent="0.25">
      <c r="A53" s="2" t="s">
        <v>10</v>
      </c>
      <c r="B53" s="2" t="s">
        <v>7</v>
      </c>
      <c r="C53" s="2" t="s">
        <v>4</v>
      </c>
      <c r="D53" s="18">
        <v>2027</v>
      </c>
      <c r="E53" s="19">
        <f>[1]Disability!X$86*EXP('[1]Input data'!$B$5+'[1]Input data'!$B$7+(1+[1]Income!W$80)*'[1]Input data'!$B$8*'[1]Input data'!$E$46+'[1]Input data'!$B$12+'[1]Input data'!$B$17+'[1]Input data'!$B$21)</f>
        <v>41010225.163664639</v>
      </c>
    </row>
    <row r="54" spans="1:5" ht="15" customHeight="1" x14ac:dyDescent="0.25">
      <c r="A54" s="2" t="s">
        <v>10</v>
      </c>
      <c r="B54" s="2" t="s">
        <v>7</v>
      </c>
      <c r="C54" s="2" t="s">
        <v>5</v>
      </c>
      <c r="D54" s="18">
        <v>2027</v>
      </c>
      <c r="E54" s="19">
        <f>[1]Disability!X$87*EXP('[1]Input data'!$B$5+'[1]Input data'!$B$7+(1+[1]Income!W$81)*'[1]Input data'!$B$8*'[1]Input data'!$E$47+'[1]Input data'!$B$12+'[1]Input data'!$B$18+'[1]Input data'!$B$21)</f>
        <v>93438241.147675306</v>
      </c>
    </row>
    <row r="55" spans="1:5" ht="15" customHeight="1" x14ac:dyDescent="0.25">
      <c r="A55" s="2" t="s">
        <v>10</v>
      </c>
      <c r="B55" s="2" t="s">
        <v>7</v>
      </c>
      <c r="C55" s="2" t="s">
        <v>6</v>
      </c>
      <c r="D55" s="18">
        <v>2027</v>
      </c>
      <c r="E55" s="19">
        <f>[1]Disability!X$88*EXP('[1]Input data'!$B$5+'[1]Input data'!$B$7+(1+[1]Income!W$82)*'[1]Input data'!$B$8*'[1]Input data'!$E$48+'[1]Input data'!$B$12+'[1]Input data'!$B$19+'[1]Input data'!$B$21)</f>
        <v>139759312.76635626</v>
      </c>
    </row>
    <row r="56" spans="1:5" ht="15" customHeight="1" x14ac:dyDescent="0.25">
      <c r="A56" s="2" t="s">
        <v>11</v>
      </c>
      <c r="B56" s="2" t="s">
        <v>3</v>
      </c>
      <c r="C56" s="2" t="s">
        <v>4</v>
      </c>
      <c r="D56" s="18">
        <v>2027</v>
      </c>
      <c r="E56" s="19">
        <f>[1]Disability!X$89*EXP('[1]Input data'!$B$4+'[1]Input data'!$B$7+(1+[1]Income!W$77)*'[1]Input data'!$B$8*'[1]Input data'!$E$49+'[1]Input data'!$B$13+'[1]Input data'!$B$17+'[1]Input data'!$B$21)</f>
        <v>9366415.0970480703</v>
      </c>
    </row>
    <row r="57" spans="1:5" ht="15" customHeight="1" x14ac:dyDescent="0.25">
      <c r="A57" s="2" t="s">
        <v>11</v>
      </c>
      <c r="B57" s="2" t="s">
        <v>3</v>
      </c>
      <c r="C57" s="2" t="s">
        <v>5</v>
      </c>
      <c r="D57" s="18">
        <v>2027</v>
      </c>
      <c r="E57" s="19">
        <f>[1]Disability!X$90*EXP('[1]Input data'!$B$4+'[1]Input data'!$B$7+(1+[1]Income!W$78)*'[1]Input data'!$B$8*'[1]Input data'!$E$50+'[1]Input data'!$B$13+'[1]Input data'!$B$18+'[1]Input data'!$B$21)</f>
        <v>17312687.032666262</v>
      </c>
    </row>
    <row r="58" spans="1:5" ht="15" customHeight="1" x14ac:dyDescent="0.25">
      <c r="A58" s="2" t="s">
        <v>11</v>
      </c>
      <c r="B58" s="2" t="s">
        <v>3</v>
      </c>
      <c r="C58" s="2" t="s">
        <v>6</v>
      </c>
      <c r="D58" s="18">
        <v>2027</v>
      </c>
      <c r="E58" s="19">
        <f>[1]Disability!X$91*EXP('[1]Input data'!$B$4+'[1]Input data'!$B$7+(1+[1]Income!W$79)*'[1]Input data'!$B$8*'[1]Input data'!$E$51+'[1]Input data'!$B$13+'[1]Input data'!$B$19+'[1]Input data'!$B$21)</f>
        <v>30157508.727985643</v>
      </c>
    </row>
    <row r="59" spans="1:5" ht="15" customHeight="1" x14ac:dyDescent="0.25">
      <c r="A59" s="2" t="s">
        <v>11</v>
      </c>
      <c r="B59" s="2" t="s">
        <v>7</v>
      </c>
      <c r="C59" s="2" t="s">
        <v>4</v>
      </c>
      <c r="D59" s="18">
        <v>2027</v>
      </c>
      <c r="E59" s="19">
        <f>[1]Disability!X$92*EXP('[1]Input data'!$B$5+'[1]Input data'!$B$7+(1+[1]Income!W$80)*'[1]Input data'!$B$8*'[1]Input data'!$E$52+'[1]Input data'!$B$13+'[1]Input data'!$B$17+'[1]Input data'!$B$21)</f>
        <v>32464160.680464908</v>
      </c>
    </row>
    <row r="60" spans="1:5" ht="15" customHeight="1" x14ac:dyDescent="0.25">
      <c r="A60" s="2" t="s">
        <v>11</v>
      </c>
      <c r="B60" s="2" t="s">
        <v>7</v>
      </c>
      <c r="C60" s="2" t="s">
        <v>5</v>
      </c>
      <c r="D60" s="18">
        <v>2027</v>
      </c>
      <c r="E60" s="19">
        <f>[1]Disability!X$93*EXP('[1]Input data'!$B$5+'[1]Input data'!$B$7+(1+[1]Income!W$81)*'[1]Input data'!$B$8*'[1]Input data'!$E$53+'[1]Input data'!$B$13+'[1]Input data'!$B$18+'[1]Input data'!$B$21)</f>
        <v>54569021.041774645</v>
      </c>
    </row>
    <row r="61" spans="1:5" ht="15" customHeight="1" x14ac:dyDescent="0.25">
      <c r="A61" s="2" t="s">
        <v>11</v>
      </c>
      <c r="B61" s="2" t="s">
        <v>7</v>
      </c>
      <c r="C61" s="2" t="s">
        <v>6</v>
      </c>
      <c r="D61" s="18">
        <v>2027</v>
      </c>
      <c r="E61" s="19">
        <f>[1]Disability!X$94*EXP('[1]Input data'!$B$5+'[1]Input data'!$B$7+(1+[1]Income!W$82)*'[1]Input data'!$B$8*'[1]Input data'!$E$54+'[1]Input data'!$B$13+'[1]Input data'!$B$19+'[1]Input data'!$B$21)</f>
        <v>97826980.763878018</v>
      </c>
    </row>
    <row r="62" spans="1:5" ht="15" customHeight="1" x14ac:dyDescent="0.25">
      <c r="A62" s="1" t="s">
        <v>2</v>
      </c>
      <c r="B62" s="2" t="s">
        <v>3</v>
      </c>
      <c r="C62" s="2" t="s">
        <v>4</v>
      </c>
      <c r="D62" s="18">
        <v>2028</v>
      </c>
      <c r="E62" s="19">
        <f>[1]Disability!Y$65*EXP('[1]Input data'!$B$4+'[1]Input data'!$B$7+(1+[1]Income!X$65)*'[1]Input data'!$B$8*'[1]Input data'!$E$25+'[1]Input data'!$B$9+'[1]Input data'!$B$17+'[1]Input data'!$B$21)</f>
        <v>38319134.205307223</v>
      </c>
    </row>
    <row r="63" spans="1:5" ht="15" customHeight="1" x14ac:dyDescent="0.25">
      <c r="A63" s="1" t="s">
        <v>2</v>
      </c>
      <c r="B63" s="2" t="s">
        <v>3</v>
      </c>
      <c r="C63" s="2" t="s">
        <v>5</v>
      </c>
      <c r="D63" s="18">
        <v>2028</v>
      </c>
      <c r="E63" s="19">
        <f>[1]Disability!Y$66*EXP('[1]Input data'!$B$4+'[1]Input data'!$B$7+(1+[1]Income!X$66)*'[1]Input data'!$B$8*'[1]Input data'!$E$26+'[1]Input data'!$B$9+'[1]Input data'!$B$18+'[1]Input data'!$B$21)</f>
        <v>67528361.965313777</v>
      </c>
    </row>
    <row r="64" spans="1:5" ht="15" customHeight="1" x14ac:dyDescent="0.25">
      <c r="A64" s="1" t="s">
        <v>2</v>
      </c>
      <c r="B64" s="2" t="s">
        <v>3</v>
      </c>
      <c r="C64" s="2" t="s">
        <v>6</v>
      </c>
      <c r="D64" s="18">
        <v>2028</v>
      </c>
      <c r="E64" s="19">
        <f>[1]Disability!Y$67*EXP('[1]Input data'!$B$4+'[1]Input data'!$B$7+(1+[1]Income!X$67)*'[1]Input data'!$B$8*'[1]Input data'!$E$27+'[1]Input data'!$B$9+'[1]Input data'!$B$19+'[1]Input data'!$B$21)</f>
        <v>97350063.52925615</v>
      </c>
    </row>
    <row r="65" spans="1:5" ht="15" customHeight="1" x14ac:dyDescent="0.25">
      <c r="A65" s="1" t="s">
        <v>2</v>
      </c>
      <c r="B65" s="2" t="s">
        <v>7</v>
      </c>
      <c r="C65" s="2" t="s">
        <v>4</v>
      </c>
      <c r="D65" s="18">
        <v>2028</v>
      </c>
      <c r="E65" s="19">
        <f>[1]Disability!Y$68*EXP('[1]Input data'!$B$5+'[1]Input data'!$B$7+(1+[1]Income!X$68)*'[1]Input data'!$B$8*'[1]Input data'!$E$28+'[1]Input data'!$B$9+'[1]Input data'!$B$17+'[1]Input data'!$B$21)</f>
        <v>32802371.20011121</v>
      </c>
    </row>
    <row r="66" spans="1:5" ht="15" customHeight="1" x14ac:dyDescent="0.25">
      <c r="A66" s="1" t="s">
        <v>2</v>
      </c>
      <c r="B66" s="2" t="s">
        <v>7</v>
      </c>
      <c r="C66" s="2" t="s">
        <v>5</v>
      </c>
      <c r="D66" s="18">
        <v>2028</v>
      </c>
      <c r="E66" s="19">
        <f>[1]Disability!Y$69*EXP('[1]Input data'!$B$5+'[1]Input data'!$B$7+(1+[1]Income!X$69)*'[1]Input data'!$B$8*'[1]Input data'!$E$29+'[1]Input data'!$B$9+'[1]Input data'!$B$18+'[1]Input data'!$B$21)</f>
        <v>66576897.635610193</v>
      </c>
    </row>
    <row r="67" spans="1:5" ht="15" customHeight="1" x14ac:dyDescent="0.25">
      <c r="A67" s="1" t="s">
        <v>2</v>
      </c>
      <c r="B67" s="2" t="s">
        <v>7</v>
      </c>
      <c r="C67" s="2" t="s">
        <v>6</v>
      </c>
      <c r="D67" s="18">
        <v>2028</v>
      </c>
      <c r="E67" s="19">
        <f>[1]Disability!Y$70*EXP('[1]Input data'!$B$5+'[1]Input data'!$B$7+(1+[1]Income!X$70)*'[1]Input data'!$B$8*'[1]Input data'!$E$30+'[1]Input data'!$B$9+'[1]Input data'!$B$19+'[1]Input data'!$B$21)</f>
        <v>66517464.296871044</v>
      </c>
    </row>
    <row r="68" spans="1:5" ht="15" customHeight="1" x14ac:dyDescent="0.25">
      <c r="A68" s="2" t="s">
        <v>8</v>
      </c>
      <c r="B68" s="2" t="s">
        <v>3</v>
      </c>
      <c r="C68" s="2" t="s">
        <v>4</v>
      </c>
      <c r="D68" s="18">
        <v>2028</v>
      </c>
      <c r="E68" s="19">
        <f>[1]Disability!Y$71*EXP('[1]Input data'!$B$4+'[1]Input data'!$B$7+(1+[1]Income!X$71)*'[1]Input data'!$B$8*'[1]Input data'!$E$31+'[1]Input data'!$B$10+'[1]Input data'!$B$17+'[1]Input data'!$B$21)</f>
        <v>78671807.303328276</v>
      </c>
    </row>
    <row r="69" spans="1:5" ht="15" customHeight="1" x14ac:dyDescent="0.25">
      <c r="A69" s="2" t="s">
        <v>8</v>
      </c>
      <c r="B69" s="2" t="s">
        <v>3</v>
      </c>
      <c r="C69" s="2" t="s">
        <v>5</v>
      </c>
      <c r="D69" s="18">
        <v>2028</v>
      </c>
      <c r="E69" s="19">
        <f>[1]Disability!Y$72*EXP('[1]Input data'!$B$4+'[1]Input data'!$B$7+(1+[1]Income!X$72)*'[1]Input data'!$B$8*'[1]Input data'!$E$32+'[1]Input data'!$B$10+'[1]Input data'!$B$18+'[1]Input data'!$B$21)</f>
        <v>154191410.65054706</v>
      </c>
    </row>
    <row r="70" spans="1:5" ht="15" customHeight="1" x14ac:dyDescent="0.25">
      <c r="A70" s="2" t="s">
        <v>8</v>
      </c>
      <c r="B70" s="2" t="s">
        <v>3</v>
      </c>
      <c r="C70" s="2" t="s">
        <v>6</v>
      </c>
      <c r="D70" s="18">
        <v>2028</v>
      </c>
      <c r="E70" s="19">
        <f>[1]Disability!Y$73*EXP('[1]Input data'!$B$4+'[1]Input data'!$B$7+(1+[1]Income!X$73)*'[1]Input data'!$B$8*'[1]Input data'!$E$33+'[1]Input data'!$B$10+'[1]Input data'!$B$19+'[1]Input data'!$B$21)</f>
        <v>229014437.46652091</v>
      </c>
    </row>
    <row r="71" spans="1:5" ht="15" customHeight="1" x14ac:dyDescent="0.25">
      <c r="A71" s="2" t="s">
        <v>8</v>
      </c>
      <c r="B71" s="2" t="s">
        <v>7</v>
      </c>
      <c r="C71" s="2" t="s">
        <v>4</v>
      </c>
      <c r="D71" s="18">
        <v>2028</v>
      </c>
      <c r="E71" s="19">
        <f>[1]Disability!Y$74*EXP('[1]Input data'!$B$5+'[1]Input data'!$B$7+(1+[1]Income!X$74)*'[1]Input data'!$B$8*'[1]Input data'!$E$34+'[1]Input data'!$B$10+'[1]Input data'!$B$17+'[1]Input data'!$B$21)</f>
        <v>70826634.418542966</v>
      </c>
    </row>
    <row r="72" spans="1:5" ht="15" customHeight="1" x14ac:dyDescent="0.25">
      <c r="A72" s="2" t="s">
        <v>8</v>
      </c>
      <c r="B72" s="2" t="s">
        <v>7</v>
      </c>
      <c r="C72" s="2" t="s">
        <v>5</v>
      </c>
      <c r="D72" s="18">
        <v>2028</v>
      </c>
      <c r="E72" s="19">
        <f>[1]Disability!Y$75*EXP('[1]Input data'!$B$5+'[1]Input data'!$B$7+(1+[1]Income!X$75)*'[1]Input data'!$B$8*'[1]Input data'!$E$35+'[1]Input data'!$B$10+'[1]Input data'!$B$18+'[1]Input data'!$B$21)</f>
        <v>157798443.26937059</v>
      </c>
    </row>
    <row r="73" spans="1:5" ht="15" customHeight="1" x14ac:dyDescent="0.25">
      <c r="A73" s="2" t="s">
        <v>8</v>
      </c>
      <c r="B73" s="2" t="s">
        <v>7</v>
      </c>
      <c r="C73" s="2" t="s">
        <v>6</v>
      </c>
      <c r="D73" s="18">
        <v>2028</v>
      </c>
      <c r="E73" s="19">
        <f>[1]Disability!Y$76*EXP('[1]Input data'!$B$5+'[1]Input data'!$B$7+(1+[1]Income!X$76)*'[1]Input data'!$B$8*'[1]Input data'!$E$36+'[1]Input data'!$B$10+'[1]Input data'!$B$19+'[1]Input data'!$B$21)</f>
        <v>226132132.73325199</v>
      </c>
    </row>
    <row r="74" spans="1:5" ht="15" customHeight="1" x14ac:dyDescent="0.25">
      <c r="A74" s="2" t="s">
        <v>9</v>
      </c>
      <c r="B74" s="2" t="s">
        <v>3</v>
      </c>
      <c r="C74" s="2" t="s">
        <v>4</v>
      </c>
      <c r="D74" s="18">
        <v>2028</v>
      </c>
      <c r="E74" s="19">
        <f>[1]Disability!Y$77*EXP('[1]Input data'!$B$4+'[1]Input data'!$B$7+(1+[1]Income!X$77)*'[1]Input data'!$B$8*'[1]Input data'!$E$37+'[1]Input data'!$B$11+'[1]Input data'!$B$17+'[1]Input data'!$B$21)</f>
        <v>46743685.553711437</v>
      </c>
    </row>
    <row r="75" spans="1:5" ht="15" customHeight="1" x14ac:dyDescent="0.25">
      <c r="A75" s="2" t="s">
        <v>9</v>
      </c>
      <c r="B75" s="2" t="s">
        <v>3</v>
      </c>
      <c r="C75" s="2" t="s">
        <v>5</v>
      </c>
      <c r="D75" s="18">
        <v>2028</v>
      </c>
      <c r="E75" s="19">
        <f>[1]Disability!Y$78*EXP('[1]Input data'!$B$4+'[1]Input data'!$B$7+(1+[1]Income!X$78)*'[1]Input data'!$B$8*'[1]Input data'!$E$38+'[1]Input data'!$B$11+'[1]Input data'!$B$18+'[1]Input data'!$B$21)</f>
        <v>85061017.721363351</v>
      </c>
    </row>
    <row r="76" spans="1:5" ht="15" customHeight="1" x14ac:dyDescent="0.25">
      <c r="A76" s="2" t="s">
        <v>9</v>
      </c>
      <c r="B76" s="2" t="s">
        <v>3</v>
      </c>
      <c r="C76" s="2" t="s">
        <v>6</v>
      </c>
      <c r="D76" s="18">
        <v>2028</v>
      </c>
      <c r="E76" s="19">
        <f>[1]Disability!Y$79*EXP('[1]Input data'!$B$4+'[1]Input data'!$B$7+(1+[1]Income!X$79)*'[1]Input data'!$B$8*'[1]Input data'!$E$39+'[1]Input data'!$B$11+'[1]Input data'!$B$19+'[1]Input data'!$B$21)</f>
        <v>119100602.96795349</v>
      </c>
    </row>
    <row r="77" spans="1:5" ht="15" customHeight="1" x14ac:dyDescent="0.25">
      <c r="A77" s="2" t="s">
        <v>9</v>
      </c>
      <c r="B77" s="2" t="s">
        <v>7</v>
      </c>
      <c r="C77" s="2" t="s">
        <v>4</v>
      </c>
      <c r="D77" s="18">
        <v>2028</v>
      </c>
      <c r="E77" s="19">
        <f>[1]Disability!Y$80*EXP('[1]Input data'!$B$5+'[1]Input data'!$B$7+(1+[1]Income!X$80)*'[1]Input data'!$B$8*'[1]Input data'!$E$40+'[1]Input data'!$B$11+'[1]Input data'!$B$17+'[1]Input data'!$B$21)</f>
        <v>54672485.590601169</v>
      </c>
    </row>
    <row r="78" spans="1:5" ht="15" customHeight="1" x14ac:dyDescent="0.25">
      <c r="A78" s="2" t="s">
        <v>9</v>
      </c>
      <c r="B78" s="2" t="s">
        <v>7</v>
      </c>
      <c r="C78" s="2" t="s">
        <v>5</v>
      </c>
      <c r="D78" s="18">
        <v>2028</v>
      </c>
      <c r="E78" s="19">
        <f>[1]Disability!Y$81*EXP('[1]Input data'!$B$5+'[1]Input data'!$B$7+(1+[1]Income!X$81)*'[1]Input data'!$B$8*'[1]Input data'!$E$38+'[1]Input data'!$B$11+'[1]Input data'!$B$18+'[1]Input data'!$B$21)</f>
        <v>117857321.45238233</v>
      </c>
    </row>
    <row r="79" spans="1:5" ht="15" customHeight="1" x14ac:dyDescent="0.25">
      <c r="A79" s="2" t="s">
        <v>9</v>
      </c>
      <c r="B79" s="2" t="s">
        <v>7</v>
      </c>
      <c r="C79" s="2" t="s">
        <v>6</v>
      </c>
      <c r="D79" s="18">
        <v>2028</v>
      </c>
      <c r="E79" s="19">
        <f>[1]Disability!Y$82*EXP('[1]Input data'!$B$5+'[1]Input data'!$B$7+(1+[1]Income!X$82)*'[1]Input data'!$B$8*'[1]Input data'!$E$42+'[1]Input data'!$B$11+'[1]Input data'!$B$19+'[1]Input data'!$B$21)</f>
        <v>149456740.91119465</v>
      </c>
    </row>
    <row r="80" spans="1:5" ht="15" customHeight="1" x14ac:dyDescent="0.25">
      <c r="A80" s="2" t="s">
        <v>10</v>
      </c>
      <c r="B80" s="2" t="s">
        <v>3</v>
      </c>
      <c r="C80" s="2" t="s">
        <v>4</v>
      </c>
      <c r="D80" s="18">
        <v>2028</v>
      </c>
      <c r="E80" s="19">
        <f>[1]Disability!Y$83*EXP('[1]Input data'!$B$4+'[1]Input data'!$B$7+(1+[1]Income!X$77)*'[1]Input data'!$B$8*'[1]Input data'!$E$43+'[1]Input data'!$B$12+'[1]Input data'!$B$17+'[1]Input data'!$B$21)</f>
        <v>20535678.699974343</v>
      </c>
    </row>
    <row r="81" spans="1:5" ht="15" customHeight="1" x14ac:dyDescent="0.25">
      <c r="A81" s="2" t="s">
        <v>10</v>
      </c>
      <c r="B81" s="2" t="s">
        <v>3</v>
      </c>
      <c r="C81" s="2" t="s">
        <v>5</v>
      </c>
      <c r="D81" s="18">
        <v>2028</v>
      </c>
      <c r="E81" s="19">
        <f>[1]Disability!Y$84*EXP('[1]Input data'!$B$4+'[1]Input data'!$B$7+(1+[1]Income!X$78)*'[1]Input data'!$B$8*'[1]Input data'!$E$44+'[1]Input data'!$B$12+'[1]Input data'!$B$18+'[1]Input data'!$B$21)</f>
        <v>43786732.788424879</v>
      </c>
    </row>
    <row r="82" spans="1:5" ht="15" customHeight="1" x14ac:dyDescent="0.25">
      <c r="A82" s="2" t="s">
        <v>10</v>
      </c>
      <c r="B82" s="2" t="s">
        <v>3</v>
      </c>
      <c r="C82" s="2" t="s">
        <v>6</v>
      </c>
      <c r="D82" s="18">
        <v>2028</v>
      </c>
      <c r="E82" s="19">
        <f>[1]Disability!Y$85*EXP('[1]Input data'!$B$4+'[1]Input data'!$B$7+(1+[1]Income!X$79)*'[1]Input data'!$B$8*'[1]Input data'!$E$45+'[1]Input data'!$B$12+'[1]Input data'!$B$19+'[1]Input data'!$B$21)</f>
        <v>61736398.035243578</v>
      </c>
    </row>
    <row r="83" spans="1:5" ht="15" customHeight="1" x14ac:dyDescent="0.25">
      <c r="A83" s="2" t="s">
        <v>10</v>
      </c>
      <c r="B83" s="2" t="s">
        <v>7</v>
      </c>
      <c r="C83" s="2" t="s">
        <v>4</v>
      </c>
      <c r="D83" s="18">
        <v>2028</v>
      </c>
      <c r="E83" s="19">
        <f>[1]Disability!Y$86*EXP('[1]Input data'!$B$5+'[1]Input data'!$B$7+(1+[1]Income!X$80)*'[1]Input data'!$B$8*'[1]Input data'!$E$46+'[1]Input data'!$B$12+'[1]Input data'!$B$17+'[1]Input data'!$B$21)</f>
        <v>40483650.647238337</v>
      </c>
    </row>
    <row r="84" spans="1:5" ht="15" customHeight="1" x14ac:dyDescent="0.25">
      <c r="A84" s="2" t="s">
        <v>10</v>
      </c>
      <c r="B84" s="2" t="s">
        <v>7</v>
      </c>
      <c r="C84" s="2" t="s">
        <v>5</v>
      </c>
      <c r="D84" s="18">
        <v>2028</v>
      </c>
      <c r="E84" s="19">
        <f>[1]Disability!Y$87*EXP('[1]Input data'!$B$5+'[1]Input data'!$B$7+(1+[1]Income!X$81)*'[1]Input data'!$B$8*'[1]Input data'!$E$47+'[1]Input data'!$B$12+'[1]Input data'!$B$18+'[1]Input data'!$B$21)</f>
        <v>93700975.868628293</v>
      </c>
    </row>
    <row r="85" spans="1:5" ht="15" customHeight="1" x14ac:dyDescent="0.25">
      <c r="A85" s="2" t="s">
        <v>10</v>
      </c>
      <c r="B85" s="2" t="s">
        <v>7</v>
      </c>
      <c r="C85" s="2" t="s">
        <v>6</v>
      </c>
      <c r="D85" s="18">
        <v>2028</v>
      </c>
      <c r="E85" s="19">
        <f>[1]Disability!Y$88*EXP('[1]Input data'!$B$5+'[1]Input data'!$B$7+(1+[1]Income!X$82)*'[1]Input data'!$B$8*'[1]Input data'!$E$48+'[1]Input data'!$B$12+'[1]Input data'!$B$19+'[1]Input data'!$B$21)</f>
        <v>138510025.96807066</v>
      </c>
    </row>
    <row r="86" spans="1:5" ht="15" customHeight="1" x14ac:dyDescent="0.25">
      <c r="A86" s="2" t="s">
        <v>11</v>
      </c>
      <c r="B86" s="2" t="s">
        <v>3</v>
      </c>
      <c r="C86" s="2" t="s">
        <v>4</v>
      </c>
      <c r="D86" s="18">
        <v>2028</v>
      </c>
      <c r="E86" s="19">
        <f>[1]Disability!Y$89*EXP('[1]Input data'!$B$4+'[1]Input data'!$B$7+(1+[1]Income!X$77)*'[1]Input data'!$B$8*'[1]Input data'!$E$49+'[1]Input data'!$B$13+'[1]Input data'!$B$17+'[1]Input data'!$B$21)</f>
        <v>9648425.5050660111</v>
      </c>
    </row>
    <row r="87" spans="1:5" ht="15" customHeight="1" x14ac:dyDescent="0.25">
      <c r="A87" s="2" t="s">
        <v>11</v>
      </c>
      <c r="B87" s="2" t="s">
        <v>3</v>
      </c>
      <c r="C87" s="2" t="s">
        <v>5</v>
      </c>
      <c r="D87" s="18">
        <v>2028</v>
      </c>
      <c r="E87" s="19">
        <f>[1]Disability!Y$90*EXP('[1]Input data'!$B$4+'[1]Input data'!$B$7+(1+[1]Income!X$78)*'[1]Input data'!$B$8*'[1]Input data'!$E$50+'[1]Input data'!$B$13+'[1]Input data'!$B$18+'[1]Input data'!$B$21)</f>
        <v>17909120.870183263</v>
      </c>
    </row>
    <row r="88" spans="1:5" ht="15" customHeight="1" x14ac:dyDescent="0.25">
      <c r="A88" s="2" t="s">
        <v>11</v>
      </c>
      <c r="B88" s="2" t="s">
        <v>3</v>
      </c>
      <c r="C88" s="2" t="s">
        <v>6</v>
      </c>
      <c r="D88" s="18">
        <v>2028</v>
      </c>
      <c r="E88" s="19">
        <f>[1]Disability!Y$91*EXP('[1]Input data'!$B$4+'[1]Input data'!$B$7+(1+[1]Income!X$79)*'[1]Input data'!$B$8*'[1]Input data'!$E$51+'[1]Input data'!$B$13+'[1]Input data'!$B$19+'[1]Input data'!$B$21)</f>
        <v>30805872.471659623</v>
      </c>
    </row>
    <row r="89" spans="1:5" ht="15" customHeight="1" x14ac:dyDescent="0.25">
      <c r="A89" s="2" t="s">
        <v>11</v>
      </c>
      <c r="B89" s="2" t="s">
        <v>7</v>
      </c>
      <c r="C89" s="2" t="s">
        <v>4</v>
      </c>
      <c r="D89" s="18">
        <v>2028</v>
      </c>
      <c r="E89" s="19">
        <f>[1]Disability!Y$92*EXP('[1]Input data'!$B$5+'[1]Input data'!$B$7+(1+[1]Income!X$80)*'[1]Input data'!$B$8*'[1]Input data'!$E$52+'[1]Input data'!$B$13+'[1]Input data'!$B$17+'[1]Input data'!$B$21)</f>
        <v>33317308.880206913</v>
      </c>
    </row>
    <row r="90" spans="1:5" ht="15" customHeight="1" x14ac:dyDescent="0.25">
      <c r="A90" s="2" t="s">
        <v>11</v>
      </c>
      <c r="B90" s="2" t="s">
        <v>7</v>
      </c>
      <c r="C90" s="2" t="s">
        <v>5</v>
      </c>
      <c r="D90" s="18">
        <v>2028</v>
      </c>
      <c r="E90" s="19">
        <f>[1]Disability!Y$93*EXP('[1]Input data'!$B$5+'[1]Input data'!$B$7+(1+[1]Income!X$81)*'[1]Input data'!$B$8*'[1]Input data'!$E$53+'[1]Input data'!$B$13+'[1]Input data'!$B$18+'[1]Input data'!$B$21)</f>
        <v>56044762.888009951</v>
      </c>
    </row>
    <row r="91" spans="1:5" ht="15" customHeight="1" x14ac:dyDescent="0.25">
      <c r="A91" s="2" t="s">
        <v>11</v>
      </c>
      <c r="B91" s="2" t="s">
        <v>7</v>
      </c>
      <c r="C91" s="2" t="s">
        <v>6</v>
      </c>
      <c r="D91" s="18">
        <v>2028</v>
      </c>
      <c r="E91" s="19">
        <f>[1]Disability!Y$94*EXP('[1]Input data'!$B$5+'[1]Input data'!$B$7+(1+[1]Income!X$82)*'[1]Input data'!$B$8*'[1]Input data'!$E$54+'[1]Input data'!$B$13+'[1]Input data'!$B$19+'[1]Input data'!$B$21)</f>
        <v>100159844.11440779</v>
      </c>
    </row>
    <row r="92" spans="1:5" ht="15" customHeight="1" x14ac:dyDescent="0.25">
      <c r="A92" s="1" t="s">
        <v>2</v>
      </c>
      <c r="B92" s="2" t="s">
        <v>3</v>
      </c>
      <c r="C92" s="2" t="s">
        <v>4</v>
      </c>
      <c r="D92" s="18">
        <v>2029</v>
      </c>
      <c r="E92" s="19">
        <f>[1]Disability!Z$65*EXP('[1]Input data'!$B$4+'[1]Input data'!$B$7+(1+[1]Income!Y$65)*'[1]Input data'!$B$8*'[1]Input data'!$E$25+'[1]Input data'!$B$9+'[1]Input data'!$B$17+'[1]Input data'!$B$21)</f>
        <v>38189278.134307504</v>
      </c>
    </row>
    <row r="93" spans="1:5" ht="15" customHeight="1" x14ac:dyDescent="0.25">
      <c r="A93" s="1" t="s">
        <v>2</v>
      </c>
      <c r="B93" s="2" t="s">
        <v>3</v>
      </c>
      <c r="C93" s="2" t="s">
        <v>5</v>
      </c>
      <c r="D93" s="18">
        <v>2029</v>
      </c>
      <c r="E93" s="19">
        <f>[1]Disability!Z$66*EXP('[1]Input data'!$B$4+'[1]Input data'!$B$7+(1+[1]Income!Y$66)*'[1]Input data'!$B$8*'[1]Input data'!$E$26+'[1]Input data'!$B$9+'[1]Input data'!$B$18+'[1]Input data'!$B$21)</f>
        <v>67046713.058265083</v>
      </c>
    </row>
    <row r="94" spans="1:5" ht="15" customHeight="1" x14ac:dyDescent="0.25">
      <c r="A94" s="1" t="s">
        <v>2</v>
      </c>
      <c r="B94" s="2" t="s">
        <v>3</v>
      </c>
      <c r="C94" s="2" t="s">
        <v>6</v>
      </c>
      <c r="D94" s="18">
        <v>2029</v>
      </c>
      <c r="E94" s="19">
        <f>[1]Disability!Z$67*EXP('[1]Input data'!$B$4+'[1]Input data'!$B$7+(1+[1]Income!Y$67)*'[1]Input data'!$B$8*'[1]Input data'!$E$27+'[1]Input data'!$B$9+'[1]Input data'!$B$19+'[1]Input data'!$B$21)</f>
        <v>97846323.845538571</v>
      </c>
    </row>
    <row r="95" spans="1:5" ht="15" customHeight="1" x14ac:dyDescent="0.25">
      <c r="A95" s="1" t="s">
        <v>2</v>
      </c>
      <c r="B95" s="2" t="s">
        <v>7</v>
      </c>
      <c r="C95" s="2" t="s">
        <v>4</v>
      </c>
      <c r="D95" s="18">
        <v>2029</v>
      </c>
      <c r="E95" s="19">
        <f>[1]Disability!Z$68*EXP('[1]Input data'!$B$5+'[1]Input data'!$B$7+(1+[1]Income!Y$68)*'[1]Input data'!$B$8*'[1]Input data'!$E$28+'[1]Input data'!$B$9+'[1]Input data'!$B$17+'[1]Input data'!$B$21)</f>
        <v>32643037.173963148</v>
      </c>
    </row>
    <row r="96" spans="1:5" ht="15" customHeight="1" x14ac:dyDescent="0.25">
      <c r="A96" s="1" t="s">
        <v>2</v>
      </c>
      <c r="B96" s="2" t="s">
        <v>7</v>
      </c>
      <c r="C96" s="2" t="s">
        <v>5</v>
      </c>
      <c r="D96" s="18">
        <v>2029</v>
      </c>
      <c r="E96" s="19">
        <f>[1]Disability!Z$69*EXP('[1]Input data'!$B$5+'[1]Input data'!$B$7+(1+[1]Income!Y$69)*'[1]Input data'!$B$8*'[1]Input data'!$E$29+'[1]Input data'!$B$9+'[1]Input data'!$B$18+'[1]Input data'!$B$21)</f>
        <v>65959159.829996228</v>
      </c>
    </row>
    <row r="97" spans="1:5" ht="15" customHeight="1" x14ac:dyDescent="0.25">
      <c r="A97" s="1" t="s">
        <v>2</v>
      </c>
      <c r="B97" s="2" t="s">
        <v>7</v>
      </c>
      <c r="C97" s="2" t="s">
        <v>6</v>
      </c>
      <c r="D97" s="18">
        <v>2029</v>
      </c>
      <c r="E97" s="19">
        <f>[1]Disability!Z$70*EXP('[1]Input data'!$B$5+'[1]Input data'!$B$7+(1+[1]Income!Y$70)*'[1]Input data'!$B$8*'[1]Input data'!$E$30+'[1]Input data'!$B$9+'[1]Input data'!$B$19+'[1]Input data'!$B$21)</f>
        <v>64702327.668772593</v>
      </c>
    </row>
    <row r="98" spans="1:5" ht="15" customHeight="1" x14ac:dyDescent="0.25">
      <c r="A98" s="2" t="s">
        <v>8</v>
      </c>
      <c r="B98" s="2" t="s">
        <v>3</v>
      </c>
      <c r="C98" s="2" t="s">
        <v>4</v>
      </c>
      <c r="D98" s="18">
        <v>2029</v>
      </c>
      <c r="E98" s="19">
        <f>[1]Disability!Z$71*EXP('[1]Input data'!$B$4+'[1]Input data'!$B$7+(1+[1]Income!Y$71)*'[1]Input data'!$B$8*'[1]Input data'!$E$31+'[1]Input data'!$B$10+'[1]Input data'!$B$17+'[1]Input data'!$B$21)</f>
        <v>79088117.839242116</v>
      </c>
    </row>
    <row r="99" spans="1:5" ht="15" customHeight="1" x14ac:dyDescent="0.25">
      <c r="A99" s="2" t="s">
        <v>8</v>
      </c>
      <c r="B99" s="2" t="s">
        <v>3</v>
      </c>
      <c r="C99" s="2" t="s">
        <v>5</v>
      </c>
      <c r="D99" s="18">
        <v>2029</v>
      </c>
      <c r="E99" s="19">
        <f>[1]Disability!Z$72*EXP('[1]Input data'!$B$4+'[1]Input data'!$B$7+(1+[1]Income!Y$72)*'[1]Input data'!$B$8*'[1]Input data'!$E$32+'[1]Input data'!$B$10+'[1]Input data'!$B$18+'[1]Input data'!$B$21)</f>
        <v>156196909.35299373</v>
      </c>
    </row>
    <row r="100" spans="1:5" ht="15" customHeight="1" x14ac:dyDescent="0.25">
      <c r="A100" s="2" t="s">
        <v>8</v>
      </c>
      <c r="B100" s="2" t="s">
        <v>3</v>
      </c>
      <c r="C100" s="2" t="s">
        <v>6</v>
      </c>
      <c r="D100" s="18">
        <v>2029</v>
      </c>
      <c r="E100" s="19">
        <f>[1]Disability!Z$73*EXP('[1]Input data'!$B$4+'[1]Input data'!$B$7+(1+[1]Income!Y$73)*'[1]Input data'!$B$8*'[1]Input data'!$E$33+'[1]Input data'!$B$10+'[1]Input data'!$B$19+'[1]Input data'!$B$21)</f>
        <v>231743955.22223732</v>
      </c>
    </row>
    <row r="101" spans="1:5" ht="15" customHeight="1" x14ac:dyDescent="0.25">
      <c r="A101" s="2" t="s">
        <v>8</v>
      </c>
      <c r="B101" s="2" t="s">
        <v>7</v>
      </c>
      <c r="C101" s="2" t="s">
        <v>4</v>
      </c>
      <c r="D101" s="18">
        <v>2029</v>
      </c>
      <c r="E101" s="19">
        <f>[1]Disability!Z$74*EXP('[1]Input data'!$B$5+'[1]Input data'!$B$7+(1+[1]Income!Y$74)*'[1]Input data'!$B$8*'[1]Input data'!$E$34+'[1]Input data'!$B$10+'[1]Input data'!$B$17+'[1]Input data'!$B$21)</f>
        <v>70389229.254871845</v>
      </c>
    </row>
    <row r="102" spans="1:5" ht="15" customHeight="1" x14ac:dyDescent="0.25">
      <c r="A102" s="2" t="s">
        <v>8</v>
      </c>
      <c r="B102" s="2" t="s">
        <v>7</v>
      </c>
      <c r="C102" s="2" t="s">
        <v>5</v>
      </c>
      <c r="D102" s="18">
        <v>2029</v>
      </c>
      <c r="E102" s="19">
        <f>[1]Disability!Z$75*EXP('[1]Input data'!$B$5+'[1]Input data'!$B$7+(1+[1]Income!Y$75)*'[1]Input data'!$B$8*'[1]Input data'!$E$35+'[1]Input data'!$B$10+'[1]Input data'!$B$18+'[1]Input data'!$B$21)</f>
        <v>157931194.27816787</v>
      </c>
    </row>
    <row r="103" spans="1:5" ht="15" customHeight="1" x14ac:dyDescent="0.25">
      <c r="A103" s="2" t="s">
        <v>8</v>
      </c>
      <c r="B103" s="2" t="s">
        <v>7</v>
      </c>
      <c r="C103" s="2" t="s">
        <v>6</v>
      </c>
      <c r="D103" s="18">
        <v>2029</v>
      </c>
      <c r="E103" s="19">
        <f>[1]Disability!Z$76*EXP('[1]Input data'!$B$5+'[1]Input data'!$B$7+(1+[1]Income!Y$76)*'[1]Input data'!$B$8*'[1]Input data'!$E$36+'[1]Input data'!$B$10+'[1]Input data'!$B$19+'[1]Input data'!$B$21)</f>
        <v>226814420.83457989</v>
      </c>
    </row>
    <row r="104" spans="1:5" ht="15" customHeight="1" x14ac:dyDescent="0.25">
      <c r="A104" s="2" t="s">
        <v>9</v>
      </c>
      <c r="B104" s="2" t="s">
        <v>3</v>
      </c>
      <c r="C104" s="2" t="s">
        <v>4</v>
      </c>
      <c r="D104" s="18">
        <v>2029</v>
      </c>
      <c r="E104" s="19">
        <f>[1]Disability!Z$77*EXP('[1]Input data'!$B$4+'[1]Input data'!$B$7+(1+[1]Income!Y$77)*'[1]Input data'!$B$8*'[1]Input data'!$E$37+'[1]Input data'!$B$11+'[1]Input data'!$B$17+'[1]Input data'!$B$21)</f>
        <v>47037596.970141128</v>
      </c>
    </row>
    <row r="105" spans="1:5" ht="15" customHeight="1" x14ac:dyDescent="0.25">
      <c r="A105" s="2" t="s">
        <v>9</v>
      </c>
      <c r="B105" s="2" t="s">
        <v>3</v>
      </c>
      <c r="C105" s="2" t="s">
        <v>5</v>
      </c>
      <c r="D105" s="18">
        <v>2029</v>
      </c>
      <c r="E105" s="19">
        <f>[1]Disability!Z$78*EXP('[1]Input data'!$B$4+'[1]Input data'!$B$7+(1+[1]Income!Y$78)*'[1]Input data'!$B$8*'[1]Input data'!$E$38+'[1]Input data'!$B$11+'[1]Input data'!$B$18+'[1]Input data'!$B$21)</f>
        <v>85472297.741024479</v>
      </c>
    </row>
    <row r="106" spans="1:5" ht="15" customHeight="1" x14ac:dyDescent="0.25">
      <c r="A106" s="2" t="s">
        <v>9</v>
      </c>
      <c r="B106" s="2" t="s">
        <v>3</v>
      </c>
      <c r="C106" s="2" t="s">
        <v>6</v>
      </c>
      <c r="D106" s="18">
        <v>2029</v>
      </c>
      <c r="E106" s="19">
        <f>[1]Disability!Z$79*EXP('[1]Input data'!$B$4+'[1]Input data'!$B$7+(1+[1]Income!Y$79)*'[1]Input data'!$B$8*'[1]Input data'!$E$39+'[1]Input data'!$B$11+'[1]Input data'!$B$19+'[1]Input data'!$B$21)</f>
        <v>118916666.30560596</v>
      </c>
    </row>
    <row r="107" spans="1:5" ht="15" customHeight="1" x14ac:dyDescent="0.25">
      <c r="A107" s="2" t="s">
        <v>9</v>
      </c>
      <c r="B107" s="2" t="s">
        <v>7</v>
      </c>
      <c r="C107" s="2" t="s">
        <v>4</v>
      </c>
      <c r="D107" s="18">
        <v>2029</v>
      </c>
      <c r="E107" s="19">
        <f>[1]Disability!Z$80*EXP('[1]Input data'!$B$5+'[1]Input data'!$B$7+(1+[1]Income!Y$80)*'[1]Input data'!$B$8*'[1]Input data'!$E$40+'[1]Input data'!$B$11+'[1]Input data'!$B$17+'[1]Input data'!$B$21)</f>
        <v>54059725.497494295</v>
      </c>
    </row>
    <row r="108" spans="1:5" ht="15" customHeight="1" x14ac:dyDescent="0.25">
      <c r="A108" s="2" t="s">
        <v>9</v>
      </c>
      <c r="B108" s="2" t="s">
        <v>7</v>
      </c>
      <c r="C108" s="2" t="s">
        <v>5</v>
      </c>
      <c r="D108" s="18">
        <v>2029</v>
      </c>
      <c r="E108" s="19">
        <f>[1]Disability!Z$81*EXP('[1]Input data'!$B$5+'[1]Input data'!$B$7+(1+[1]Income!Y$81)*'[1]Input data'!$B$8*'[1]Input data'!$E$38+'[1]Input data'!$B$11+'[1]Input data'!$B$18+'[1]Input data'!$B$21)</f>
        <v>117189176.38958815</v>
      </c>
    </row>
    <row r="109" spans="1:5" ht="15" customHeight="1" x14ac:dyDescent="0.25">
      <c r="A109" s="2" t="s">
        <v>9</v>
      </c>
      <c r="B109" s="2" t="s">
        <v>7</v>
      </c>
      <c r="C109" s="2" t="s">
        <v>6</v>
      </c>
      <c r="D109" s="18">
        <v>2029</v>
      </c>
      <c r="E109" s="19">
        <f>[1]Disability!Z$82*EXP('[1]Input data'!$B$5+'[1]Input data'!$B$7+(1+[1]Income!Y$82)*'[1]Input data'!$B$8*'[1]Input data'!$E$42+'[1]Input data'!$B$11+'[1]Input data'!$B$19+'[1]Input data'!$B$21)</f>
        <v>146038592.76358932</v>
      </c>
    </row>
    <row r="110" spans="1:5" ht="15" customHeight="1" x14ac:dyDescent="0.25">
      <c r="A110" s="2" t="s">
        <v>10</v>
      </c>
      <c r="B110" s="2" t="s">
        <v>3</v>
      </c>
      <c r="C110" s="2" t="s">
        <v>4</v>
      </c>
      <c r="D110" s="18">
        <v>2029</v>
      </c>
      <c r="E110" s="19">
        <f>[1]Disability!Z$83*EXP('[1]Input data'!$B$4+'[1]Input data'!$B$7+(1+[1]Income!Y$77)*'[1]Input data'!$B$8*'[1]Input data'!$E$43+'[1]Input data'!$B$12+'[1]Input data'!$B$17+'[1]Input data'!$B$21)</f>
        <v>20521248.242039729</v>
      </c>
    </row>
    <row r="111" spans="1:5" ht="15" customHeight="1" x14ac:dyDescent="0.25">
      <c r="A111" s="2" t="s">
        <v>10</v>
      </c>
      <c r="B111" s="2" t="s">
        <v>3</v>
      </c>
      <c r="C111" s="2" t="s">
        <v>5</v>
      </c>
      <c r="D111" s="18">
        <v>2029</v>
      </c>
      <c r="E111" s="19">
        <f>[1]Disability!Z$84*EXP('[1]Input data'!$B$4+'[1]Input data'!$B$7+(1+[1]Income!Y$78)*'[1]Input data'!$B$8*'[1]Input data'!$E$44+'[1]Input data'!$B$12+'[1]Input data'!$B$18+'[1]Input data'!$B$21)</f>
        <v>44139916.461589992</v>
      </c>
    </row>
    <row r="112" spans="1:5" ht="15" customHeight="1" x14ac:dyDescent="0.25">
      <c r="A112" s="2" t="s">
        <v>10</v>
      </c>
      <c r="B112" s="2" t="s">
        <v>3</v>
      </c>
      <c r="C112" s="2" t="s">
        <v>6</v>
      </c>
      <c r="D112" s="18">
        <v>2029</v>
      </c>
      <c r="E112" s="19">
        <f>[1]Disability!Z$85*EXP('[1]Input data'!$B$4+'[1]Input data'!$B$7+(1+[1]Income!Y$79)*'[1]Input data'!$B$8*'[1]Input data'!$E$45+'[1]Input data'!$B$12+'[1]Input data'!$B$19+'[1]Input data'!$B$21)</f>
        <v>61065317.018703453</v>
      </c>
    </row>
    <row r="113" spans="1:5" ht="15" customHeight="1" x14ac:dyDescent="0.25">
      <c r="A113" s="2" t="s">
        <v>10</v>
      </c>
      <c r="B113" s="2" t="s">
        <v>7</v>
      </c>
      <c r="C113" s="2" t="s">
        <v>4</v>
      </c>
      <c r="D113" s="18">
        <v>2029</v>
      </c>
      <c r="E113" s="19">
        <f>[1]Disability!Z$86*EXP('[1]Input data'!$B$5+'[1]Input data'!$B$7+(1+[1]Income!Y$80)*'[1]Input data'!$B$8*'[1]Input data'!$E$46+'[1]Input data'!$B$12+'[1]Input data'!$B$17+'[1]Input data'!$B$21)</f>
        <v>39956913.443112716</v>
      </c>
    </row>
    <row r="114" spans="1:5" ht="15" customHeight="1" x14ac:dyDescent="0.25">
      <c r="A114" s="2" t="s">
        <v>10</v>
      </c>
      <c r="B114" s="2" t="s">
        <v>7</v>
      </c>
      <c r="C114" s="2" t="s">
        <v>5</v>
      </c>
      <c r="D114" s="18">
        <v>2029</v>
      </c>
      <c r="E114" s="19">
        <f>[1]Disability!Z$87*EXP('[1]Input data'!$B$5+'[1]Input data'!$B$7+(1+[1]Income!Y$81)*'[1]Input data'!$B$8*'[1]Input data'!$E$47+'[1]Input data'!$B$12+'[1]Input data'!$B$18+'[1]Input data'!$B$21)</f>
        <v>93963564.689343855</v>
      </c>
    </row>
    <row r="115" spans="1:5" ht="15" customHeight="1" x14ac:dyDescent="0.25">
      <c r="A115" s="2" t="s">
        <v>10</v>
      </c>
      <c r="B115" s="2" t="s">
        <v>7</v>
      </c>
      <c r="C115" s="2" t="s">
        <v>6</v>
      </c>
      <c r="D115" s="18">
        <v>2029</v>
      </c>
      <c r="E115" s="19">
        <f>[1]Disability!Z$88*EXP('[1]Input data'!$B$5+'[1]Input data'!$B$7+(1+[1]Income!Y$82)*'[1]Input data'!$B$8*'[1]Input data'!$E$48+'[1]Input data'!$B$12+'[1]Input data'!$B$19+'[1]Input data'!$B$21)</f>
        <v>137260426.2623913</v>
      </c>
    </row>
    <row r="116" spans="1:5" ht="15" customHeight="1" x14ac:dyDescent="0.25">
      <c r="A116" s="2" t="s">
        <v>11</v>
      </c>
      <c r="B116" s="2" t="s">
        <v>3</v>
      </c>
      <c r="C116" s="2" t="s">
        <v>4</v>
      </c>
      <c r="D116" s="18">
        <v>2029</v>
      </c>
      <c r="E116" s="19">
        <f>[1]Disability!Z$89*EXP('[1]Input data'!$B$4+'[1]Input data'!$B$7+(1+[1]Income!Y$77)*'[1]Input data'!$B$8*'[1]Input data'!$E$49+'[1]Input data'!$B$13+'[1]Input data'!$B$17+'[1]Input data'!$B$21)</f>
        <v>9930432.8808035105</v>
      </c>
    </row>
    <row r="117" spans="1:5" ht="15" customHeight="1" x14ac:dyDescent="0.25">
      <c r="A117" s="2" t="s">
        <v>11</v>
      </c>
      <c r="B117" s="2" t="s">
        <v>3</v>
      </c>
      <c r="C117" s="2" t="s">
        <v>5</v>
      </c>
      <c r="D117" s="18">
        <v>2029</v>
      </c>
      <c r="E117" s="19">
        <f>[1]Disability!Z$90*EXP('[1]Input data'!$B$4+'[1]Input data'!$B$7+(1+[1]Income!Y$78)*'[1]Input data'!$B$8*'[1]Input data'!$E$50+'[1]Input data'!$B$13+'[1]Input data'!$B$18+'[1]Input data'!$B$21)</f>
        <v>18505552.988705035</v>
      </c>
    </row>
    <row r="118" spans="1:5" ht="15" customHeight="1" x14ac:dyDescent="0.25">
      <c r="A118" s="2" t="s">
        <v>11</v>
      </c>
      <c r="B118" s="2" t="s">
        <v>3</v>
      </c>
      <c r="C118" s="2" t="s">
        <v>6</v>
      </c>
      <c r="D118" s="18">
        <v>2029</v>
      </c>
      <c r="E118" s="19">
        <f>[1]Disability!Z$91*EXP('[1]Input data'!$B$4+'[1]Input data'!$B$7+(1+[1]Income!Y$79)*'[1]Input data'!$B$8*'[1]Input data'!$E$51+'[1]Input data'!$B$13+'[1]Input data'!$B$19+'[1]Input data'!$B$21)</f>
        <v>31454215.0388042</v>
      </c>
    </row>
    <row r="119" spans="1:5" ht="15" customHeight="1" x14ac:dyDescent="0.25">
      <c r="A119" s="2" t="s">
        <v>11</v>
      </c>
      <c r="B119" s="2" t="s">
        <v>7</v>
      </c>
      <c r="C119" s="2" t="s">
        <v>4</v>
      </c>
      <c r="D119" s="18">
        <v>2029</v>
      </c>
      <c r="E119" s="19">
        <f>[1]Disability!Z$92*EXP('[1]Input data'!$B$5+'[1]Input data'!$B$7+(1+[1]Income!Y$80)*'[1]Input data'!$B$8*'[1]Input data'!$E$52+'[1]Input data'!$B$13+'[1]Input data'!$B$17+'[1]Input data'!$B$21)</f>
        <v>34170441.143723793</v>
      </c>
    </row>
    <row r="120" spans="1:5" ht="15" customHeight="1" x14ac:dyDescent="0.25">
      <c r="A120" s="2" t="s">
        <v>11</v>
      </c>
      <c r="B120" s="2" t="s">
        <v>7</v>
      </c>
      <c r="C120" s="2" t="s">
        <v>5</v>
      </c>
      <c r="D120" s="18">
        <v>2029</v>
      </c>
      <c r="E120" s="19">
        <f>[1]Disability!Z$93*EXP('[1]Input data'!$B$5+'[1]Input data'!$B$7+(1+[1]Income!Y$81)*'[1]Input data'!$B$8*'[1]Input data'!$E$53+'[1]Input data'!$B$13+'[1]Input data'!$B$18+'[1]Input data'!$B$21)</f>
        <v>57520490.888568498</v>
      </c>
    </row>
    <row r="121" spans="1:5" ht="15" customHeight="1" x14ac:dyDescent="0.25">
      <c r="A121" s="2" t="s">
        <v>11</v>
      </c>
      <c r="B121" s="2" t="s">
        <v>7</v>
      </c>
      <c r="C121" s="2" t="s">
        <v>6</v>
      </c>
      <c r="D121" s="18">
        <v>2029</v>
      </c>
      <c r="E121" s="19">
        <f>[1]Disability!Z$94*EXP('[1]Input data'!$B$5+'[1]Input data'!$B$7+(1+[1]Income!Y$82)*'[1]Input data'!$B$8*'[1]Input data'!$E$54+'[1]Input data'!$B$13+'[1]Input data'!$B$19+'[1]Input data'!$B$21)</f>
        <v>102492671.75636011</v>
      </c>
    </row>
    <row r="122" spans="1:5" ht="15" customHeight="1" x14ac:dyDescent="0.25">
      <c r="A122" s="1" t="s">
        <v>2</v>
      </c>
      <c r="B122" s="2" t="s">
        <v>3</v>
      </c>
      <c r="C122" s="2" t="s">
        <v>4</v>
      </c>
      <c r="D122" s="18">
        <v>2030</v>
      </c>
      <c r="E122" s="19">
        <f>[1]Disability!AA$65*EXP('[1]Input data'!$B$4+'[1]Input data'!$B$7+(1+[1]Income!Z$65)*'[1]Input data'!$B$8*'[1]Input data'!$E$25+'[1]Input data'!$B$9+'[1]Input data'!$B$17+'[1]Input data'!$B$21)</f>
        <v>38059300.823179364</v>
      </c>
    </row>
    <row r="123" spans="1:5" ht="15" customHeight="1" x14ac:dyDescent="0.25">
      <c r="A123" s="1" t="s">
        <v>2</v>
      </c>
      <c r="B123" s="2" t="s">
        <v>3</v>
      </c>
      <c r="C123" s="2" t="s">
        <v>5</v>
      </c>
      <c r="D123" s="18">
        <v>2030</v>
      </c>
      <c r="E123" s="19">
        <f>[1]Disability!AA$66*EXP('[1]Input data'!$B$4+'[1]Input data'!$B$7+(1+[1]Income!Z$66)*'[1]Input data'!$B$8*'[1]Input data'!$E$26+'[1]Input data'!$B$9+'[1]Input data'!$B$18+'[1]Input data'!$B$21)</f>
        <v>66564862.479060613</v>
      </c>
    </row>
    <row r="124" spans="1:5" ht="15" customHeight="1" x14ac:dyDescent="0.25">
      <c r="A124" s="1" t="s">
        <v>2</v>
      </c>
      <c r="B124" s="2" t="s">
        <v>3</v>
      </c>
      <c r="C124" s="2" t="s">
        <v>6</v>
      </c>
      <c r="D124" s="18">
        <v>2030</v>
      </c>
      <c r="E124" s="19">
        <f>[1]Disability!AA$67*EXP('[1]Input data'!$B$4+'[1]Input data'!$B$7+(1+[1]Income!Z$67)*'[1]Input data'!$B$8*'[1]Input data'!$E$27+'[1]Input data'!$B$9+'[1]Input data'!$B$19+'[1]Input data'!$B$21)</f>
        <v>98342316.769153789</v>
      </c>
    </row>
    <row r="125" spans="1:5" ht="15" customHeight="1" x14ac:dyDescent="0.25">
      <c r="A125" s="1" t="s">
        <v>2</v>
      </c>
      <c r="B125" s="2" t="s">
        <v>7</v>
      </c>
      <c r="C125" s="2" t="s">
        <v>4</v>
      </c>
      <c r="D125" s="18">
        <v>2030</v>
      </c>
      <c r="E125" s="19">
        <f>[1]Disability!AA$68*EXP('[1]Input data'!$B$5+'[1]Input data'!$B$7+(1+[1]Income!Z$68)*'[1]Input data'!$B$8*'[1]Input data'!$E$28+'[1]Input data'!$B$9+'[1]Input data'!$B$17+'[1]Input data'!$B$21)</f>
        <v>32483622.362581048</v>
      </c>
    </row>
    <row r="126" spans="1:5" ht="15" customHeight="1" x14ac:dyDescent="0.25">
      <c r="A126" s="1" t="s">
        <v>2</v>
      </c>
      <c r="B126" s="2" t="s">
        <v>7</v>
      </c>
      <c r="C126" s="2" t="s">
        <v>5</v>
      </c>
      <c r="D126" s="18">
        <v>2030</v>
      </c>
      <c r="E126" s="19">
        <f>[1]Disability!AA$69*EXP('[1]Input data'!$B$5+'[1]Input data'!$B$7+(1+[1]Income!Z$69)*'[1]Input data'!$B$8*'[1]Input data'!$E$29+'[1]Input data'!$B$9+'[1]Input data'!$B$18+'[1]Input data'!$B$21)</f>
        <v>65341278.585306779</v>
      </c>
    </row>
    <row r="127" spans="1:5" ht="15" customHeight="1" x14ac:dyDescent="0.25">
      <c r="A127" s="1" t="s">
        <v>2</v>
      </c>
      <c r="B127" s="2" t="s">
        <v>7</v>
      </c>
      <c r="C127" s="2" t="s">
        <v>6</v>
      </c>
      <c r="D127" s="18">
        <v>2030</v>
      </c>
      <c r="E127" s="19">
        <f>[1]Disability!AA$70*EXP('[1]Input data'!$B$5+'[1]Input data'!$B$7+(1+[1]Income!Z$70)*'[1]Input data'!$B$8*'[1]Input data'!$E$30+'[1]Input data'!$B$9+'[1]Input data'!$B$19+'[1]Input data'!$B$21)</f>
        <v>62886941.441776678</v>
      </c>
    </row>
    <row r="128" spans="1:5" ht="15" customHeight="1" x14ac:dyDescent="0.25">
      <c r="A128" s="2" t="s">
        <v>8</v>
      </c>
      <c r="B128" s="2" t="s">
        <v>3</v>
      </c>
      <c r="C128" s="2" t="s">
        <v>4</v>
      </c>
      <c r="D128" s="18">
        <v>2030</v>
      </c>
      <c r="E128" s="19">
        <f>[1]Disability!AA$71*EXP('[1]Input data'!$B$4+'[1]Input data'!$B$7+(1+[1]Income!Z$71)*'[1]Input data'!$B$8*'[1]Input data'!$E$31+'[1]Input data'!$B$10+'[1]Input data'!$B$17+'[1]Input data'!$B$21)</f>
        <v>79504210.567313805</v>
      </c>
    </row>
    <row r="129" spans="1:5" ht="15" customHeight="1" x14ac:dyDescent="0.25">
      <c r="A129" s="2" t="s">
        <v>8</v>
      </c>
      <c r="B129" s="2" t="s">
        <v>3</v>
      </c>
      <c r="C129" s="2" t="s">
        <v>5</v>
      </c>
      <c r="D129" s="18">
        <v>2030</v>
      </c>
      <c r="E129" s="19">
        <f>[1]Disability!AA$72*EXP('[1]Input data'!$B$4+'[1]Input data'!$B$7+(1+[1]Income!Z$72)*'[1]Input data'!$B$8*'[1]Input data'!$E$32+'[1]Input data'!$B$10+'[1]Input data'!$B$18+'[1]Input data'!$B$21)</f>
        <v>158202277.00780803</v>
      </c>
    </row>
    <row r="130" spans="1:5" ht="15" customHeight="1" x14ac:dyDescent="0.25">
      <c r="A130" s="2" t="s">
        <v>8</v>
      </c>
      <c r="B130" s="2" t="s">
        <v>3</v>
      </c>
      <c r="C130" s="2" t="s">
        <v>6</v>
      </c>
      <c r="D130" s="18">
        <v>2030</v>
      </c>
      <c r="E130" s="19">
        <f>[1]Disability!AA$73*EXP('[1]Input data'!$B$4+'[1]Input data'!$B$7+(1+[1]Income!Z$73)*'[1]Input data'!$B$8*'[1]Input data'!$E$33+'[1]Input data'!$B$10+'[1]Input data'!$B$19+'[1]Input data'!$B$21)</f>
        <v>234473125.60875753</v>
      </c>
    </row>
    <row r="131" spans="1:5" ht="15" customHeight="1" x14ac:dyDescent="0.25">
      <c r="A131" s="2" t="s">
        <v>8</v>
      </c>
      <c r="B131" s="2" t="s">
        <v>7</v>
      </c>
      <c r="C131" s="2" t="s">
        <v>4</v>
      </c>
      <c r="D131" s="18">
        <v>2030</v>
      </c>
      <c r="E131" s="19">
        <f>[1]Disability!AA$74*EXP('[1]Input data'!$B$5+'[1]Input data'!$B$7+(1+[1]Income!Z$74)*'[1]Input data'!$B$8*'[1]Input data'!$E$34+'[1]Input data'!$B$10+'[1]Input data'!$B$17+'[1]Input data'!$B$21)</f>
        <v>69951502.294459015</v>
      </c>
    </row>
    <row r="132" spans="1:5" ht="15" customHeight="1" x14ac:dyDescent="0.25">
      <c r="A132" s="2" t="s">
        <v>8</v>
      </c>
      <c r="B132" s="2" t="s">
        <v>7</v>
      </c>
      <c r="C132" s="2" t="s">
        <v>5</v>
      </c>
      <c r="D132" s="18">
        <v>2030</v>
      </c>
      <c r="E132" s="19">
        <f>[1]Disability!AA$75*EXP('[1]Input data'!$B$5+'[1]Input data'!$B$7+(1+[1]Income!Z$75)*'[1]Input data'!$B$8*'[1]Input data'!$E$35+'[1]Input data'!$B$10+'[1]Input data'!$B$18+'[1]Input data'!$B$21)</f>
        <v>158063726.36695087</v>
      </c>
    </row>
    <row r="133" spans="1:5" ht="15" customHeight="1" x14ac:dyDescent="0.25">
      <c r="A133" s="2" t="s">
        <v>8</v>
      </c>
      <c r="B133" s="2" t="s">
        <v>7</v>
      </c>
      <c r="C133" s="2" t="s">
        <v>6</v>
      </c>
      <c r="D133" s="18">
        <v>2030</v>
      </c>
      <c r="E133" s="19">
        <f>[1]Disability!AA$76*EXP('[1]Input data'!$B$5+'[1]Input data'!$B$7+(1+[1]Income!Z$76)*'[1]Input data'!$B$8*'[1]Input data'!$E$36+'[1]Input data'!$B$10+'[1]Input data'!$B$19+'[1]Input data'!$B$21)</f>
        <v>227496134.47740215</v>
      </c>
    </row>
    <row r="134" spans="1:5" ht="15" customHeight="1" x14ac:dyDescent="0.25">
      <c r="A134" s="2" t="s">
        <v>9</v>
      </c>
      <c r="B134" s="2" t="s">
        <v>3</v>
      </c>
      <c r="C134" s="2" t="s">
        <v>4</v>
      </c>
      <c r="D134" s="18">
        <v>2030</v>
      </c>
      <c r="E134" s="19">
        <f>[1]Disability!AA$77*EXP('[1]Input data'!$B$4+'[1]Input data'!$B$7+(1+[1]Income!Z$77)*'[1]Input data'!$B$8*'[1]Input data'!$E$37+'[1]Input data'!$B$11+'[1]Input data'!$B$17+'[1]Input data'!$B$21)</f>
        <v>47331391.722309716</v>
      </c>
    </row>
    <row r="135" spans="1:5" ht="15" customHeight="1" x14ac:dyDescent="0.25">
      <c r="A135" s="2" t="s">
        <v>9</v>
      </c>
      <c r="B135" s="2" t="s">
        <v>3</v>
      </c>
      <c r="C135" s="2" t="s">
        <v>5</v>
      </c>
      <c r="D135" s="18">
        <v>2030</v>
      </c>
      <c r="E135" s="19">
        <f>[1]Disability!AA$78*EXP('[1]Input data'!$B$4+'[1]Input data'!$B$7+(1+[1]Income!Z$78)*'[1]Input data'!$B$8*'[1]Input data'!$E$38+'[1]Input data'!$B$11+'[1]Input data'!$B$18+'[1]Input data'!$B$21)</f>
        <v>85883479.187555924</v>
      </c>
    </row>
    <row r="136" spans="1:5" ht="15" customHeight="1" x14ac:dyDescent="0.25">
      <c r="A136" s="2" t="s">
        <v>9</v>
      </c>
      <c r="B136" s="2" t="s">
        <v>3</v>
      </c>
      <c r="C136" s="2" t="s">
        <v>6</v>
      </c>
      <c r="D136" s="18">
        <v>2030</v>
      </c>
      <c r="E136" s="19">
        <f>[1]Disability!AA$79*EXP('[1]Input data'!$B$4+'[1]Input data'!$B$7+(1+[1]Income!Z$79)*'[1]Input data'!$B$8*'[1]Input data'!$E$39+'[1]Input data'!$B$11+'[1]Input data'!$B$19+'[1]Input data'!$B$21)</f>
        <v>118732501.15894458</v>
      </c>
    </row>
    <row r="137" spans="1:5" ht="15" customHeight="1" x14ac:dyDescent="0.25">
      <c r="A137" s="2" t="s">
        <v>9</v>
      </c>
      <c r="B137" s="2" t="s">
        <v>7</v>
      </c>
      <c r="C137" s="2" t="s">
        <v>4</v>
      </c>
      <c r="D137" s="18">
        <v>2030</v>
      </c>
      <c r="E137" s="19">
        <f>[1]Disability!AA$80*EXP('[1]Input data'!$B$5+'[1]Input data'!$B$7+(1+[1]Income!Z$80)*'[1]Input data'!$B$8*'[1]Input data'!$E$40+'[1]Input data'!$B$11+'[1]Input data'!$B$17+'[1]Input data'!$B$21)</f>
        <v>53446769.211134464</v>
      </c>
    </row>
    <row r="138" spans="1:5" ht="15" customHeight="1" x14ac:dyDescent="0.25">
      <c r="A138" s="2" t="s">
        <v>9</v>
      </c>
      <c r="B138" s="2" t="s">
        <v>7</v>
      </c>
      <c r="C138" s="2" t="s">
        <v>5</v>
      </c>
      <c r="D138" s="18">
        <v>2030</v>
      </c>
      <c r="E138" s="19">
        <f>[1]Disability!AA$81*EXP('[1]Input data'!$B$5+'[1]Input data'!$B$7+(1+[1]Income!Z$81)*'[1]Input data'!$B$8*'[1]Input data'!$E$38+'[1]Input data'!$B$11+'[1]Input data'!$B$18+'[1]Input data'!$B$21)</f>
        <v>116520862.99981473</v>
      </c>
    </row>
    <row r="139" spans="1:5" ht="15" customHeight="1" x14ac:dyDescent="0.25">
      <c r="A139" s="2" t="s">
        <v>9</v>
      </c>
      <c r="B139" s="2" t="s">
        <v>7</v>
      </c>
      <c r="C139" s="2" t="s">
        <v>6</v>
      </c>
      <c r="D139" s="18">
        <v>2030</v>
      </c>
      <c r="E139" s="19">
        <f>[1]Disability!AA$82*EXP('[1]Input data'!$B$5+'[1]Input data'!$B$7+(1+[1]Income!Z$82)*'[1]Input data'!$B$8*'[1]Input data'!$E$42+'[1]Input data'!$B$11+'[1]Input data'!$B$19+'[1]Input data'!$B$21)</f>
        <v>142619984.25426233</v>
      </c>
    </row>
    <row r="140" spans="1:5" ht="15" customHeight="1" x14ac:dyDescent="0.25">
      <c r="A140" s="2" t="s">
        <v>10</v>
      </c>
      <c r="B140" s="2" t="s">
        <v>3</v>
      </c>
      <c r="C140" s="2" t="s">
        <v>4</v>
      </c>
      <c r="D140" s="18">
        <v>2030</v>
      </c>
      <c r="E140" s="19">
        <f>[1]Disability!AA$83*EXP('[1]Input data'!$B$4+'[1]Input data'!$B$7+(1+[1]Income!Z$77)*'[1]Input data'!$B$8*'[1]Input data'!$E$43+'[1]Input data'!$B$12+'[1]Input data'!$B$17+'[1]Input data'!$B$21)</f>
        <v>20506752.338703677</v>
      </c>
    </row>
    <row r="141" spans="1:5" ht="15" customHeight="1" x14ac:dyDescent="0.25">
      <c r="A141" s="2" t="s">
        <v>10</v>
      </c>
      <c r="B141" s="2" t="s">
        <v>3</v>
      </c>
      <c r="C141" s="2" t="s">
        <v>5</v>
      </c>
      <c r="D141" s="18">
        <v>2030</v>
      </c>
      <c r="E141" s="19">
        <f>[1]Disability!AA$84*EXP('[1]Input data'!$B$4+'[1]Input data'!$B$7+(1+[1]Income!Z$78)*'[1]Input data'!$B$8*'[1]Input data'!$E$44+'[1]Input data'!$B$12+'[1]Input data'!$B$18+'[1]Input data'!$B$21)</f>
        <v>44493025.222420357</v>
      </c>
    </row>
    <row r="142" spans="1:5" ht="15" customHeight="1" x14ac:dyDescent="0.25">
      <c r="A142" s="2" t="s">
        <v>10</v>
      </c>
      <c r="B142" s="2" t="s">
        <v>3</v>
      </c>
      <c r="C142" s="2" t="s">
        <v>6</v>
      </c>
      <c r="D142" s="18">
        <v>2030</v>
      </c>
      <c r="E142" s="19">
        <f>[1]Disability!AA$85*EXP('[1]Input data'!$B$4+'[1]Input data'!$B$7+(1+[1]Income!Z$79)*'[1]Input data'!$B$8*'[1]Input data'!$E$45+'[1]Input data'!$B$12+'[1]Input data'!$B$19+'[1]Input data'!$B$21)</f>
        <v>60394086.323328108</v>
      </c>
    </row>
    <row r="143" spans="1:5" ht="15" customHeight="1" x14ac:dyDescent="0.25">
      <c r="A143" s="2" t="s">
        <v>10</v>
      </c>
      <c r="B143" s="2" t="s">
        <v>7</v>
      </c>
      <c r="C143" s="2" t="s">
        <v>4</v>
      </c>
      <c r="D143" s="18">
        <v>2030</v>
      </c>
      <c r="E143" s="19">
        <f>[1]Disability!AA$86*EXP('[1]Input data'!$B$5+'[1]Input data'!$B$7+(1+[1]Income!Z$80)*'[1]Input data'!$B$8*'[1]Input data'!$E$46+'[1]Input data'!$B$12+'[1]Input data'!$B$17+'[1]Input data'!$B$21)</f>
        <v>39430029.073486567</v>
      </c>
    </row>
    <row r="144" spans="1:5" ht="15" customHeight="1" x14ac:dyDescent="0.25">
      <c r="A144" s="2" t="s">
        <v>10</v>
      </c>
      <c r="B144" s="2" t="s">
        <v>7</v>
      </c>
      <c r="C144" s="2" t="s">
        <v>5</v>
      </c>
      <c r="D144" s="18">
        <v>2030</v>
      </c>
      <c r="E144" s="19">
        <f>[1]Disability!AA$87*EXP('[1]Input data'!$B$5+'[1]Input data'!$B$7+(1+[1]Income!Z$81)*'[1]Input data'!$B$8*'[1]Input data'!$E$47+'[1]Input data'!$B$12+'[1]Input data'!$B$18+'[1]Input data'!$B$21)</f>
        <v>94226021.425984189</v>
      </c>
    </row>
    <row r="145" spans="1:5" ht="15" customHeight="1" x14ac:dyDescent="0.25">
      <c r="A145" s="2" t="s">
        <v>10</v>
      </c>
      <c r="B145" s="2" t="s">
        <v>7</v>
      </c>
      <c r="C145" s="2" t="s">
        <v>6</v>
      </c>
      <c r="D145" s="18">
        <v>2030</v>
      </c>
      <c r="E145" s="19">
        <f>[1]Disability!AA$88*EXP('[1]Input data'!$B$5+'[1]Input data'!$B$7+(1+[1]Income!Z$82)*'[1]Input data'!$B$8*'[1]Input data'!$E$48+'[1]Input data'!$B$12+'[1]Input data'!$B$19+'[1]Input data'!$B$21)</f>
        <v>136010543.30307057</v>
      </c>
    </row>
    <row r="146" spans="1:5" ht="15" customHeight="1" x14ac:dyDescent="0.25">
      <c r="A146" s="2" t="s">
        <v>11</v>
      </c>
      <c r="B146" s="2" t="s">
        <v>3</v>
      </c>
      <c r="C146" s="2" t="s">
        <v>4</v>
      </c>
      <c r="D146" s="18">
        <v>2030</v>
      </c>
      <c r="E146" s="19">
        <f>[1]Disability!AA$89*EXP('[1]Input data'!$B$4+'[1]Input data'!$B$7+(1+[1]Income!Z$77)*'[1]Input data'!$B$8*'[1]Input data'!$E$49+'[1]Input data'!$B$13+'[1]Input data'!$B$17+'[1]Input data'!$B$21)</f>
        <v>10212437.50744633</v>
      </c>
    </row>
    <row r="147" spans="1:5" ht="15" customHeight="1" x14ac:dyDescent="0.25">
      <c r="A147" s="2" t="s">
        <v>11</v>
      </c>
      <c r="B147" s="2" t="s">
        <v>3</v>
      </c>
      <c r="C147" s="2" t="s">
        <v>5</v>
      </c>
      <c r="D147" s="18">
        <v>2030</v>
      </c>
      <c r="E147" s="19">
        <f>[1]Disability!AA$90*EXP('[1]Input data'!$B$4+'[1]Input data'!$B$7+(1+[1]Income!Z$78)*'[1]Input data'!$B$8*'[1]Input data'!$E$50+'[1]Input data'!$B$13+'[1]Input data'!$B$18+'[1]Input data'!$B$21)</f>
        <v>19101983.55610732</v>
      </c>
    </row>
    <row r="148" spans="1:5" ht="15" customHeight="1" x14ac:dyDescent="0.25">
      <c r="A148" s="2" t="s">
        <v>11</v>
      </c>
      <c r="B148" s="2" t="s">
        <v>3</v>
      </c>
      <c r="C148" s="2" t="s">
        <v>6</v>
      </c>
      <c r="D148" s="18">
        <v>2030</v>
      </c>
      <c r="E148" s="19">
        <f>[1]Disability!AA$91*EXP('[1]Input data'!$B$4+'[1]Input data'!$B$7+(1+[1]Income!Z$79)*'[1]Input data'!$B$8*'[1]Input data'!$E$51+'[1]Input data'!$B$13+'[1]Input data'!$B$19+'[1]Input data'!$B$21)</f>
        <v>32102538.4315698</v>
      </c>
    </row>
    <row r="149" spans="1:5" ht="15" customHeight="1" x14ac:dyDescent="0.25">
      <c r="A149" s="2" t="s">
        <v>11</v>
      </c>
      <c r="B149" s="2" t="s">
        <v>7</v>
      </c>
      <c r="C149" s="2" t="s">
        <v>4</v>
      </c>
      <c r="D149" s="18">
        <v>2030</v>
      </c>
      <c r="E149" s="19">
        <f>[1]Disability!AA$92*EXP('[1]Input data'!$B$5+'[1]Input data'!$B$7+(1+[1]Income!Z$80)*'[1]Input data'!$B$8*'[1]Input data'!$E$52+'[1]Input data'!$B$13+'[1]Input data'!$B$17+'[1]Input data'!$B$21)</f>
        <v>35023558.991805173</v>
      </c>
    </row>
    <row r="150" spans="1:5" ht="15" customHeight="1" x14ac:dyDescent="0.25">
      <c r="A150" s="2" t="s">
        <v>11</v>
      </c>
      <c r="B150" s="2" t="s">
        <v>7</v>
      </c>
      <c r="C150" s="2" t="s">
        <v>5</v>
      </c>
      <c r="D150" s="18">
        <v>2030</v>
      </c>
      <c r="E150" s="19">
        <f>[1]Disability!AA$93*EXP('[1]Input data'!$B$5+'[1]Input data'!$B$7+(1+[1]Income!Z$81)*'[1]Input data'!$B$8*'[1]Input data'!$E$53+'[1]Input data'!$B$13+'[1]Input data'!$B$18+'[1]Input data'!$B$21)</f>
        <v>58996206.354734793</v>
      </c>
    </row>
    <row r="151" spans="1:5" ht="15" customHeight="1" x14ac:dyDescent="0.25">
      <c r="A151" s="2" t="s">
        <v>11</v>
      </c>
      <c r="B151" s="2" t="s">
        <v>7</v>
      </c>
      <c r="C151" s="2" t="s">
        <v>6</v>
      </c>
      <c r="D151" s="18">
        <v>2030</v>
      </c>
      <c r="E151" s="19">
        <f>[1]Disability!AA$94*EXP('[1]Input data'!$B$5+'[1]Input data'!$B$7+(1+[1]Income!Z$82)*'[1]Input data'!$B$8*'[1]Input data'!$E$54+'[1]Input data'!$B$13+'[1]Input data'!$B$19+'[1]Input data'!$B$21)</f>
        <v>104825467.07422198</v>
      </c>
    </row>
    <row r="152" spans="1:5" ht="15" customHeight="1" x14ac:dyDescent="0.25">
      <c r="A152" s="1" t="s">
        <v>2</v>
      </c>
      <c r="B152" s="2" t="s">
        <v>3</v>
      </c>
      <c r="C152" s="2" t="s">
        <v>4</v>
      </c>
      <c r="D152" s="18">
        <v>2031</v>
      </c>
      <c r="E152" s="19">
        <f>[1]Disability!AB$65*EXP('[1]Input data'!$B$4+'[1]Input data'!$B$7+(1+[1]Income!AA$65)*'[1]Input data'!$B$8*'[1]Input data'!$E$25+'[1]Input data'!$B$9+'[1]Input data'!$B$17+'[1]Input data'!$B$21)</f>
        <v>37856247.273595177</v>
      </c>
    </row>
    <row r="153" spans="1:5" ht="15" customHeight="1" x14ac:dyDescent="0.25">
      <c r="A153" s="1" t="s">
        <v>2</v>
      </c>
      <c r="B153" s="2" t="s">
        <v>3</v>
      </c>
      <c r="C153" s="2" t="s">
        <v>5</v>
      </c>
      <c r="D153" s="18">
        <v>2031</v>
      </c>
      <c r="E153" s="19">
        <f>[1]Disability!AB$66*EXP('[1]Input data'!$B$4+'[1]Input data'!$B$7+(1+[1]Income!AA$66)*'[1]Input data'!$B$8*'[1]Input data'!$E$26+'[1]Input data'!$B$9+'[1]Input data'!$B$18+'[1]Input data'!$B$21)</f>
        <v>65807051.072934195</v>
      </c>
    </row>
    <row r="154" spans="1:5" ht="15" customHeight="1" x14ac:dyDescent="0.25">
      <c r="A154" s="1" t="s">
        <v>2</v>
      </c>
      <c r="B154" s="2" t="s">
        <v>3</v>
      </c>
      <c r="C154" s="2" t="s">
        <v>6</v>
      </c>
      <c r="D154" s="18">
        <v>2031</v>
      </c>
      <c r="E154" s="19">
        <f>[1]Disability!AB$67*EXP('[1]Input data'!$B$4+'[1]Input data'!$B$7+(1+[1]Income!AA$67)*'[1]Input data'!$B$8*'[1]Input data'!$E$27+'[1]Input data'!$B$9+'[1]Input data'!$B$19+'[1]Input data'!$B$21)</f>
        <v>98444560.10928224</v>
      </c>
    </row>
    <row r="155" spans="1:5" ht="15" customHeight="1" x14ac:dyDescent="0.25">
      <c r="A155" s="1" t="s">
        <v>2</v>
      </c>
      <c r="B155" s="2" t="s">
        <v>7</v>
      </c>
      <c r="C155" s="2" t="s">
        <v>4</v>
      </c>
      <c r="D155" s="18">
        <v>2031</v>
      </c>
      <c r="E155" s="19">
        <f>[1]Disability!AB$68*EXP('[1]Input data'!$B$5+'[1]Input data'!$B$7+(1+[1]Income!AA$68)*'[1]Input data'!$B$8*'[1]Input data'!$E$28+'[1]Input data'!$B$9+'[1]Input data'!$B$17+'[1]Input data'!$B$21)</f>
        <v>32266928.523572538</v>
      </c>
    </row>
    <row r="156" spans="1:5" ht="15" customHeight="1" x14ac:dyDescent="0.25">
      <c r="A156" s="1" t="s">
        <v>2</v>
      </c>
      <c r="B156" s="2" t="s">
        <v>7</v>
      </c>
      <c r="C156" s="2" t="s">
        <v>5</v>
      </c>
      <c r="D156" s="18">
        <v>2031</v>
      </c>
      <c r="E156" s="19">
        <f>[1]Disability!AB$69*EXP('[1]Input data'!$B$5+'[1]Input data'!$B$7+(1+[1]Income!AA$69)*'[1]Input data'!$B$8*'[1]Input data'!$E$29+'[1]Input data'!$B$9+'[1]Input data'!$B$18+'[1]Input data'!$B$21)</f>
        <v>64499292.801990896</v>
      </c>
    </row>
    <row r="157" spans="1:5" ht="15" customHeight="1" x14ac:dyDescent="0.25">
      <c r="A157" s="1" t="s">
        <v>2</v>
      </c>
      <c r="B157" s="2" t="s">
        <v>7</v>
      </c>
      <c r="C157" s="2" t="s">
        <v>6</v>
      </c>
      <c r="D157" s="18">
        <v>2031</v>
      </c>
      <c r="E157" s="19">
        <f>[1]Disability!AB$70*EXP('[1]Input data'!$B$5+'[1]Input data'!$B$7+(1+[1]Income!AA$70)*'[1]Input data'!$B$8*'[1]Input data'!$E$30+'[1]Input data'!$B$9+'[1]Input data'!$B$19+'[1]Input data'!$B$21)</f>
        <v>60907853.686255507</v>
      </c>
    </row>
    <row r="158" spans="1:5" ht="15" customHeight="1" x14ac:dyDescent="0.25">
      <c r="A158" s="2" t="s">
        <v>8</v>
      </c>
      <c r="B158" s="2" t="s">
        <v>3</v>
      </c>
      <c r="C158" s="2" t="s">
        <v>4</v>
      </c>
      <c r="D158" s="18">
        <v>2031</v>
      </c>
      <c r="E158" s="19">
        <f>[1]Disability!AB$71*EXP('[1]Input data'!$B$4+'[1]Input data'!$B$7+(1+[1]Income!AA$71)*'[1]Input data'!$B$8*'[1]Input data'!$E$31+'[1]Input data'!$B$10+'[1]Input data'!$B$17+'[1]Input data'!$B$21)</f>
        <v>79585605.653461993</v>
      </c>
    </row>
    <row r="159" spans="1:5" ht="15" customHeight="1" x14ac:dyDescent="0.25">
      <c r="A159" s="2" t="s">
        <v>8</v>
      </c>
      <c r="B159" s="2" t="s">
        <v>3</v>
      </c>
      <c r="C159" s="2" t="s">
        <v>5</v>
      </c>
      <c r="D159" s="18">
        <v>2031</v>
      </c>
      <c r="E159" s="19">
        <f>[1]Disability!AB$72*EXP('[1]Input data'!$B$4+'[1]Input data'!$B$7+(1+[1]Income!AA$72)*'[1]Input data'!$B$8*'[1]Input data'!$E$32+'[1]Input data'!$B$10+'[1]Input data'!$B$18+'[1]Input data'!$B$21)</f>
        <v>159836765.66371533</v>
      </c>
    </row>
    <row r="160" spans="1:5" ht="15" customHeight="1" x14ac:dyDescent="0.25">
      <c r="A160" s="2" t="s">
        <v>8</v>
      </c>
      <c r="B160" s="2" t="s">
        <v>3</v>
      </c>
      <c r="C160" s="2" t="s">
        <v>6</v>
      </c>
      <c r="D160" s="18">
        <v>2031</v>
      </c>
      <c r="E160" s="19">
        <f>[1]Disability!AB$73*EXP('[1]Input data'!$B$4+'[1]Input data'!$B$7+(1+[1]Income!AA$73)*'[1]Input data'!$B$8*'[1]Input data'!$E$33+'[1]Input data'!$B$10+'[1]Input data'!$B$19+'[1]Input data'!$B$21)</f>
        <v>236157395.18585145</v>
      </c>
    </row>
    <row r="161" spans="1:5" ht="15" customHeight="1" x14ac:dyDescent="0.25">
      <c r="A161" s="2" t="s">
        <v>8</v>
      </c>
      <c r="B161" s="2" t="s">
        <v>7</v>
      </c>
      <c r="C161" s="2" t="s">
        <v>4</v>
      </c>
      <c r="D161" s="18">
        <v>2031</v>
      </c>
      <c r="E161" s="19">
        <f>[1]Disability!AB$74*EXP('[1]Input data'!$B$5+'[1]Input data'!$B$7+(1+[1]Income!AA$74)*'[1]Input data'!$B$8*'[1]Input data'!$E$34+'[1]Input data'!$B$10+'[1]Input data'!$B$17+'[1]Input data'!$B$21)</f>
        <v>69252241.901786938</v>
      </c>
    </row>
    <row r="162" spans="1:5" ht="15" customHeight="1" x14ac:dyDescent="0.25">
      <c r="A162" s="2" t="s">
        <v>8</v>
      </c>
      <c r="B162" s="2" t="s">
        <v>7</v>
      </c>
      <c r="C162" s="2" t="s">
        <v>5</v>
      </c>
      <c r="D162" s="18">
        <v>2031</v>
      </c>
      <c r="E162" s="19">
        <f>[1]Disability!AB$75*EXP('[1]Input data'!$B$5+'[1]Input data'!$B$7+(1+[1]Income!AA$75)*'[1]Input data'!$B$8*'[1]Input data'!$E$35+'[1]Input data'!$B$10+'[1]Input data'!$B$18+'[1]Input data'!$B$21)</f>
        <v>157939680.14641646</v>
      </c>
    </row>
    <row r="163" spans="1:5" ht="15" customHeight="1" x14ac:dyDescent="0.25">
      <c r="A163" s="2" t="s">
        <v>8</v>
      </c>
      <c r="B163" s="2" t="s">
        <v>7</v>
      </c>
      <c r="C163" s="2" t="s">
        <v>6</v>
      </c>
      <c r="D163" s="18">
        <v>2031</v>
      </c>
      <c r="E163" s="19">
        <f>[1]Disability!AB$76*EXP('[1]Input data'!$B$5+'[1]Input data'!$B$7+(1+[1]Income!AA$76)*'[1]Input data'!$B$8*'[1]Input data'!$E$36+'[1]Input data'!$B$10+'[1]Input data'!$B$19+'[1]Input data'!$B$21)</f>
        <v>227162959.15848589</v>
      </c>
    </row>
    <row r="164" spans="1:5" ht="15" customHeight="1" x14ac:dyDescent="0.25">
      <c r="A164" s="2" t="s">
        <v>9</v>
      </c>
      <c r="B164" s="2" t="s">
        <v>3</v>
      </c>
      <c r="C164" s="2" t="s">
        <v>4</v>
      </c>
      <c r="D164" s="18">
        <v>2031</v>
      </c>
      <c r="E164" s="19">
        <f>[1]Disability!AB$77*EXP('[1]Input data'!$B$4+'[1]Input data'!$B$7+(1+[1]Income!AA$77)*'[1]Input data'!$B$8*'[1]Input data'!$E$37+'[1]Input data'!$B$11+'[1]Input data'!$B$17+'[1]Input data'!$B$21)</f>
        <v>47478983.130269438</v>
      </c>
    </row>
    <row r="165" spans="1:5" ht="15" customHeight="1" x14ac:dyDescent="0.25">
      <c r="A165" s="2" t="s">
        <v>9</v>
      </c>
      <c r="B165" s="2" t="s">
        <v>3</v>
      </c>
      <c r="C165" s="2" t="s">
        <v>5</v>
      </c>
      <c r="D165" s="18">
        <v>2031</v>
      </c>
      <c r="E165" s="19">
        <f>[1]Disability!AB$78*EXP('[1]Input data'!$B$4+'[1]Input data'!$B$7+(1+[1]Income!AA$78)*'[1]Input data'!$B$8*'[1]Input data'!$E$38+'[1]Input data'!$B$11+'[1]Input data'!$B$18+'[1]Input data'!$B$21)</f>
        <v>86193128.083956584</v>
      </c>
    </row>
    <row r="166" spans="1:5" ht="15" customHeight="1" x14ac:dyDescent="0.25">
      <c r="A166" s="2" t="s">
        <v>9</v>
      </c>
      <c r="B166" s="2" t="s">
        <v>3</v>
      </c>
      <c r="C166" s="2" t="s">
        <v>6</v>
      </c>
      <c r="D166" s="18">
        <v>2031</v>
      </c>
      <c r="E166" s="19">
        <f>[1]Disability!AB$79*EXP('[1]Input data'!$B$4+'[1]Input data'!$B$7+(1+[1]Income!AA$79)*'[1]Input data'!$B$8*'[1]Input data'!$E$39+'[1]Input data'!$B$11+'[1]Input data'!$B$19+'[1]Input data'!$B$21)</f>
        <v>118121781.92345732</v>
      </c>
    </row>
    <row r="167" spans="1:5" ht="15" customHeight="1" x14ac:dyDescent="0.25">
      <c r="A167" s="2" t="s">
        <v>9</v>
      </c>
      <c r="B167" s="2" t="s">
        <v>7</v>
      </c>
      <c r="C167" s="2" t="s">
        <v>4</v>
      </c>
      <c r="D167" s="18">
        <v>2031</v>
      </c>
      <c r="E167" s="19">
        <f>[1]Disability!AB$80*EXP('[1]Input data'!$B$5+'[1]Input data'!$B$7+(1+[1]Income!AA$80)*'[1]Input data'!$B$8*'[1]Input data'!$E$40+'[1]Input data'!$B$11+'[1]Input data'!$B$17+'[1]Input data'!$B$21)</f>
        <v>52694634.138250373</v>
      </c>
    </row>
    <row r="168" spans="1:5" ht="15" customHeight="1" x14ac:dyDescent="0.25">
      <c r="A168" s="2" t="s">
        <v>9</v>
      </c>
      <c r="B168" s="2" t="s">
        <v>7</v>
      </c>
      <c r="C168" s="2" t="s">
        <v>5</v>
      </c>
      <c r="D168" s="18">
        <v>2031</v>
      </c>
      <c r="E168" s="19">
        <f>[1]Disability!AB$81*EXP('[1]Input data'!$B$5+'[1]Input data'!$B$7+(1+[1]Income!AA$81)*'[1]Input data'!$B$8*'[1]Input data'!$E$38+'[1]Input data'!$B$11+'[1]Input data'!$B$18+'[1]Input data'!$B$21)</f>
        <v>115702411.34954362</v>
      </c>
    </row>
    <row r="169" spans="1:5" ht="15" customHeight="1" x14ac:dyDescent="0.25">
      <c r="A169" s="2" t="s">
        <v>9</v>
      </c>
      <c r="B169" s="2" t="s">
        <v>7</v>
      </c>
      <c r="C169" s="2" t="s">
        <v>6</v>
      </c>
      <c r="D169" s="18">
        <v>2031</v>
      </c>
      <c r="E169" s="19">
        <f>[1]Disability!AB$82*EXP('[1]Input data'!$B$5+'[1]Input data'!$B$7+(1+[1]Income!AA$82)*'[1]Input data'!$B$8*'[1]Input data'!$E$42+'[1]Input data'!$B$11+'[1]Input data'!$B$19+'[1]Input data'!$B$21)</f>
        <v>138846600.63708261</v>
      </c>
    </row>
    <row r="170" spans="1:5" ht="15" customHeight="1" x14ac:dyDescent="0.25">
      <c r="A170" s="2" t="s">
        <v>10</v>
      </c>
      <c r="B170" s="2" t="s">
        <v>3</v>
      </c>
      <c r="C170" s="2" t="s">
        <v>4</v>
      </c>
      <c r="D170" s="18">
        <v>2031</v>
      </c>
      <c r="E170" s="19">
        <f>[1]Disability!AB$83*EXP('[1]Input data'!$B$4+'[1]Input data'!$B$7+(1+[1]Income!AA$77)*'[1]Input data'!$B$8*'[1]Input data'!$E$43+'[1]Input data'!$B$12+'[1]Input data'!$B$17+'[1]Input data'!$B$21)</f>
        <v>20428459.850260589</v>
      </c>
    </row>
    <row r="171" spans="1:5" ht="15" customHeight="1" x14ac:dyDescent="0.25">
      <c r="A171" s="2" t="s">
        <v>10</v>
      </c>
      <c r="B171" s="2" t="s">
        <v>3</v>
      </c>
      <c r="C171" s="2" t="s">
        <v>5</v>
      </c>
      <c r="D171" s="18">
        <v>2031</v>
      </c>
      <c r="E171" s="19">
        <f>[1]Disability!AB$84*EXP('[1]Input data'!$B$4+'[1]Input data'!$B$7+(1+[1]Income!AA$78)*'[1]Input data'!$B$8*'[1]Input data'!$E$44+'[1]Input data'!$B$12+'[1]Input data'!$B$18+'[1]Input data'!$B$21)</f>
        <v>44758903.2701592</v>
      </c>
    </row>
    <row r="172" spans="1:5" ht="15" customHeight="1" x14ac:dyDescent="0.25">
      <c r="A172" s="2" t="s">
        <v>10</v>
      </c>
      <c r="B172" s="2" t="s">
        <v>3</v>
      </c>
      <c r="C172" s="2" t="s">
        <v>6</v>
      </c>
      <c r="D172" s="18">
        <v>2031</v>
      </c>
      <c r="E172" s="19">
        <f>[1]Disability!AB$85*EXP('[1]Input data'!$B$4+'[1]Input data'!$B$7+(1+[1]Income!AA$79)*'[1]Input data'!$B$8*'[1]Input data'!$E$45+'[1]Input data'!$B$12+'[1]Input data'!$B$19+'[1]Input data'!$B$21)</f>
        <v>59508115.440999962</v>
      </c>
    </row>
    <row r="173" spans="1:5" ht="15" customHeight="1" x14ac:dyDescent="0.25">
      <c r="A173" s="2" t="s">
        <v>10</v>
      </c>
      <c r="B173" s="2" t="s">
        <v>7</v>
      </c>
      <c r="C173" s="2" t="s">
        <v>4</v>
      </c>
      <c r="D173" s="18">
        <v>2031</v>
      </c>
      <c r="E173" s="19">
        <f>[1]Disability!AB$86*EXP('[1]Input data'!$B$5+'[1]Input data'!$B$7+(1+[1]Income!AA$80)*'[1]Input data'!$B$8*'[1]Input data'!$E$46+'[1]Input data'!$B$12+'[1]Input data'!$B$17+'[1]Input data'!$B$21)</f>
        <v>38803301.53629221</v>
      </c>
    </row>
    <row r="174" spans="1:5" ht="15" customHeight="1" x14ac:dyDescent="0.25">
      <c r="A174" s="2" t="s">
        <v>10</v>
      </c>
      <c r="B174" s="2" t="s">
        <v>7</v>
      </c>
      <c r="C174" s="2" t="s">
        <v>5</v>
      </c>
      <c r="D174" s="18">
        <v>2031</v>
      </c>
      <c r="E174" s="19">
        <f>[1]Disability!AB$87*EXP('[1]Input data'!$B$5+'[1]Input data'!$B$7+(1+[1]Income!AA$81)*'[1]Input data'!$B$8*'[1]Input data'!$E$47+'[1]Input data'!$B$12+'[1]Input data'!$B$18+'[1]Input data'!$B$21)</f>
        <v>94334575.432200953</v>
      </c>
    </row>
    <row r="175" spans="1:5" ht="15" customHeight="1" x14ac:dyDescent="0.25">
      <c r="A175" s="2" t="s">
        <v>10</v>
      </c>
      <c r="B175" s="2" t="s">
        <v>7</v>
      </c>
      <c r="C175" s="2" t="s">
        <v>6</v>
      </c>
      <c r="D175" s="18">
        <v>2031</v>
      </c>
      <c r="E175" s="19">
        <f>[1]Disability!AB$88*EXP('[1]Input data'!$B$5+'[1]Input data'!$B$7+(1+[1]Income!AA$82)*'[1]Input data'!$B$8*'[1]Input data'!$E$48+'[1]Input data'!$B$12+'[1]Input data'!$B$19+'[1]Input data'!$B$21)</f>
        <v>134458839.13699913</v>
      </c>
    </row>
    <row r="176" spans="1:5" ht="15" customHeight="1" x14ac:dyDescent="0.25">
      <c r="A176" s="2" t="s">
        <v>11</v>
      </c>
      <c r="B176" s="2" t="s">
        <v>3</v>
      </c>
      <c r="C176" s="2" t="s">
        <v>4</v>
      </c>
      <c r="D176" s="18">
        <v>2031</v>
      </c>
      <c r="E176" s="19">
        <f>[1]Disability!AB$89*EXP('[1]Input data'!$B$4+'[1]Input data'!$B$7+(1+[1]Income!AA$77)*'[1]Input data'!$B$8*'[1]Input data'!$E$49+'[1]Input data'!$B$13+'[1]Input data'!$B$17+'[1]Input data'!$B$21)</f>
        <v>10469713.360402545</v>
      </c>
    </row>
    <row r="177" spans="1:5" ht="15" customHeight="1" x14ac:dyDescent="0.25">
      <c r="A177" s="2" t="s">
        <v>11</v>
      </c>
      <c r="B177" s="2" t="s">
        <v>3</v>
      </c>
      <c r="C177" s="2" t="s">
        <v>5</v>
      </c>
      <c r="D177" s="18">
        <v>2031</v>
      </c>
      <c r="E177" s="19">
        <f>[1]Disability!AB$90*EXP('[1]Input data'!$B$4+'[1]Input data'!$B$7+(1+[1]Income!AA$78)*'[1]Input data'!$B$8*'[1]Input data'!$E$50+'[1]Input data'!$B$13+'[1]Input data'!$B$18+'[1]Input data'!$B$21)</f>
        <v>19664866.102936365</v>
      </c>
    </row>
    <row r="178" spans="1:5" ht="15" customHeight="1" x14ac:dyDescent="0.25">
      <c r="A178" s="2" t="s">
        <v>11</v>
      </c>
      <c r="B178" s="2" t="s">
        <v>3</v>
      </c>
      <c r="C178" s="2" t="s">
        <v>6</v>
      </c>
      <c r="D178" s="18">
        <v>2031</v>
      </c>
      <c r="E178" s="19">
        <f>[1]Disability!AB$91*EXP('[1]Input data'!$B$4+'[1]Input data'!$B$7+(1+[1]Income!AA$79)*'[1]Input data'!$B$8*'[1]Input data'!$E$51+'[1]Input data'!$B$13+'[1]Input data'!$B$19+'[1]Input data'!$B$21)</f>
        <v>32644180.200818345</v>
      </c>
    </row>
    <row r="179" spans="1:5" ht="15" customHeight="1" x14ac:dyDescent="0.25">
      <c r="A179" s="2" t="s">
        <v>11</v>
      </c>
      <c r="B179" s="2" t="s">
        <v>7</v>
      </c>
      <c r="C179" s="2" t="s">
        <v>4</v>
      </c>
      <c r="D179" s="18">
        <v>2031</v>
      </c>
      <c r="E179" s="19">
        <f>[1]Disability!AB$92*EXP('[1]Input data'!$B$5+'[1]Input data'!$B$7+(1+[1]Income!AA$80)*'[1]Input data'!$B$8*'[1]Input data'!$E$52+'[1]Input data'!$B$13+'[1]Input data'!$B$17+'[1]Input data'!$B$21)</f>
        <v>35815327.971445397</v>
      </c>
    </row>
    <row r="180" spans="1:5" ht="15" customHeight="1" x14ac:dyDescent="0.25">
      <c r="A180" s="2" t="s">
        <v>11</v>
      </c>
      <c r="B180" s="2" t="s">
        <v>7</v>
      </c>
      <c r="C180" s="2" t="s">
        <v>5</v>
      </c>
      <c r="D180" s="18">
        <v>2031</v>
      </c>
      <c r="E180" s="19">
        <f>[1]Disability!AB$93*EXP('[1]Input data'!$B$5+'[1]Input data'!$B$7+(1+[1]Income!AA$81)*'[1]Input data'!$B$8*'[1]Input data'!$E$53+'[1]Input data'!$B$13+'[1]Input data'!$B$18+'[1]Input data'!$B$21)</f>
        <v>60406498.104618505</v>
      </c>
    </row>
    <row r="181" spans="1:5" ht="15" customHeight="1" x14ac:dyDescent="0.25">
      <c r="A181" s="2" t="s">
        <v>11</v>
      </c>
      <c r="B181" s="2" t="s">
        <v>7</v>
      </c>
      <c r="C181" s="2" t="s">
        <v>6</v>
      </c>
      <c r="D181" s="18">
        <v>2031</v>
      </c>
      <c r="E181" s="19">
        <f>[1]Disability!AB$94*EXP('[1]Input data'!$B$5+'[1]Input data'!$B$7+(1+[1]Income!AA$82)*'[1]Input data'!$B$8*'[1]Input data'!$E$54+'[1]Input data'!$B$13+'[1]Input data'!$B$19+'[1]Input data'!$B$21)</f>
        <v>107003303.13585505</v>
      </c>
    </row>
    <row r="182" spans="1:5" ht="15" customHeight="1" x14ac:dyDescent="0.25">
      <c r="A182" s="1" t="s">
        <v>2</v>
      </c>
      <c r="B182" s="2" t="s">
        <v>3</v>
      </c>
      <c r="C182" s="2" t="s">
        <v>4</v>
      </c>
      <c r="D182" s="18">
        <v>2032</v>
      </c>
      <c r="E182" s="19">
        <f>[1]Disability!AC$65*EXP('[1]Input data'!$B$4+'[1]Input data'!$B$7+(1+[1]Income!AB$65)*'[1]Input data'!$B$8*'[1]Input data'!$E$25+'[1]Input data'!$B$9+'[1]Input data'!$B$17+'[1]Input data'!$B$21)</f>
        <v>37795852.201673582</v>
      </c>
    </row>
    <row r="183" spans="1:5" ht="15" customHeight="1" x14ac:dyDescent="0.25">
      <c r="A183" s="1" t="s">
        <v>2</v>
      </c>
      <c r="B183" s="2" t="s">
        <v>3</v>
      </c>
      <c r="C183" s="2" t="s">
        <v>5</v>
      </c>
      <c r="D183" s="18">
        <v>2032</v>
      </c>
      <c r="E183" s="19">
        <f>[1]Disability!AC$66*EXP('[1]Input data'!$B$4+'[1]Input data'!$B$7+(1+[1]Income!AB$66)*'[1]Input data'!$B$8*'[1]Input data'!$E$26+'[1]Input data'!$B$9+'[1]Input data'!$B$18+'[1]Input data'!$B$21)</f>
        <v>65566746.190908052</v>
      </c>
    </row>
    <row r="184" spans="1:5" ht="15" customHeight="1" x14ac:dyDescent="0.25">
      <c r="A184" s="1" t="s">
        <v>2</v>
      </c>
      <c r="B184" s="2" t="s">
        <v>3</v>
      </c>
      <c r="C184" s="2" t="s">
        <v>6</v>
      </c>
      <c r="D184" s="18">
        <v>2032</v>
      </c>
      <c r="E184" s="19">
        <f>[1]Disability!AC$67*EXP('[1]Input data'!$B$4+'[1]Input data'!$B$7+(1+[1]Income!AB$67)*'[1]Input data'!$B$8*'[1]Input data'!$E$27+'[1]Input data'!$B$9+'[1]Input data'!$B$19+'[1]Input data'!$B$21)</f>
        <v>99265865.655539364</v>
      </c>
    </row>
    <row r="185" spans="1:5" ht="15" customHeight="1" x14ac:dyDescent="0.25">
      <c r="A185" s="1" t="s">
        <v>2</v>
      </c>
      <c r="B185" s="2" t="s">
        <v>7</v>
      </c>
      <c r="C185" s="2" t="s">
        <v>4</v>
      </c>
      <c r="D185" s="18">
        <v>2032</v>
      </c>
      <c r="E185" s="19">
        <f>[1]Disability!AC$68*EXP('[1]Input data'!$B$5+'[1]Input data'!$B$7+(1+[1]Income!AB$68)*'[1]Input data'!$B$8*'[1]Input data'!$E$28+'[1]Input data'!$B$9+'[1]Input data'!$B$17+'[1]Input data'!$B$21)</f>
        <v>32166729.374673691</v>
      </c>
    </row>
    <row r="186" spans="1:5" ht="15" customHeight="1" x14ac:dyDescent="0.25">
      <c r="A186" s="1" t="s">
        <v>2</v>
      </c>
      <c r="B186" s="2" t="s">
        <v>7</v>
      </c>
      <c r="C186" s="2" t="s">
        <v>5</v>
      </c>
      <c r="D186" s="18">
        <v>2032</v>
      </c>
      <c r="E186" s="19">
        <f>[1]Disability!AC$69*EXP('[1]Input data'!$B$5+'[1]Input data'!$B$7+(1+[1]Income!AB$69)*'[1]Input data'!$B$8*'[1]Input data'!$E$29+'[1]Input data'!$B$9+'[1]Input data'!$B$18+'[1]Input data'!$B$21)</f>
        <v>64090228.515688628</v>
      </c>
    </row>
    <row r="187" spans="1:5" ht="15" customHeight="1" x14ac:dyDescent="0.25">
      <c r="A187" s="1" t="s">
        <v>2</v>
      </c>
      <c r="B187" s="2" t="s">
        <v>7</v>
      </c>
      <c r="C187" s="2" t="s">
        <v>6</v>
      </c>
      <c r="D187" s="18">
        <v>2032</v>
      </c>
      <c r="E187" s="19">
        <f>[1]Disability!AC$70*EXP('[1]Input data'!$B$5+'[1]Input data'!$B$7+(1+[1]Income!AB$70)*'[1]Input data'!$B$8*'[1]Input data'!$E$30+'[1]Input data'!$B$9+'[1]Input data'!$B$19+'[1]Input data'!$B$21)</f>
        <v>59228313.296052836</v>
      </c>
    </row>
    <row r="188" spans="1:5" ht="15" customHeight="1" x14ac:dyDescent="0.25">
      <c r="A188" s="2" t="s">
        <v>8</v>
      </c>
      <c r="B188" s="2" t="s">
        <v>3</v>
      </c>
      <c r="C188" s="2" t="s">
        <v>4</v>
      </c>
      <c r="D188" s="18">
        <v>2032</v>
      </c>
      <c r="E188" s="19">
        <f>[1]Disability!AC$71*EXP('[1]Input data'!$B$4+'[1]Input data'!$B$7+(1+[1]Income!AB$71)*'[1]Input data'!$B$8*'[1]Input data'!$E$31+'[1]Input data'!$B$10+'[1]Input data'!$B$17+'[1]Input data'!$B$21)</f>
        <v>80353807.54833208</v>
      </c>
    </row>
    <row r="189" spans="1:5" ht="15" customHeight="1" x14ac:dyDescent="0.25">
      <c r="A189" s="2" t="s">
        <v>8</v>
      </c>
      <c r="B189" s="2" t="s">
        <v>3</v>
      </c>
      <c r="C189" s="2" t="s">
        <v>5</v>
      </c>
      <c r="D189" s="18">
        <v>2032</v>
      </c>
      <c r="E189" s="19">
        <f>[1]Disability!AC$72*EXP('[1]Input data'!$B$4+'[1]Input data'!$B$7+(1+[1]Income!AB$72)*'[1]Input data'!$B$8*'[1]Input data'!$E$32+'[1]Input data'!$B$10+'[1]Input data'!$B$18+'[1]Input data'!$B$21)</f>
        <v>162169899.21372554</v>
      </c>
    </row>
    <row r="190" spans="1:5" ht="15" customHeight="1" x14ac:dyDescent="0.25">
      <c r="A190" s="2" t="s">
        <v>8</v>
      </c>
      <c r="B190" s="2" t="s">
        <v>3</v>
      </c>
      <c r="C190" s="2" t="s">
        <v>6</v>
      </c>
      <c r="D190" s="18">
        <v>2032</v>
      </c>
      <c r="E190" s="19">
        <f>[1]Disability!AC$73*EXP('[1]Input data'!$B$4+'[1]Input data'!$B$7+(1+[1]Income!AB$73)*'[1]Input data'!$B$8*'[1]Input data'!$E$33+'[1]Input data'!$B$10+'[1]Input data'!$B$19+'[1]Input data'!$B$21)</f>
        <v>239763443.65644348</v>
      </c>
    </row>
    <row r="191" spans="1:5" ht="15" customHeight="1" x14ac:dyDescent="0.25">
      <c r="A191" s="2" t="s">
        <v>8</v>
      </c>
      <c r="B191" s="2" t="s">
        <v>7</v>
      </c>
      <c r="C191" s="2" t="s">
        <v>4</v>
      </c>
      <c r="D191" s="18">
        <v>2032</v>
      </c>
      <c r="E191" s="19">
        <f>[1]Disability!AC$74*EXP('[1]Input data'!$B$5+'[1]Input data'!$B$7+(1+[1]Income!AB$74)*'[1]Input data'!$B$8*'[1]Input data'!$E$34+'[1]Input data'!$B$10+'[1]Input data'!$B$17+'[1]Input data'!$B$21)</f>
        <v>69075254.397445291</v>
      </c>
    </row>
    <row r="192" spans="1:5" ht="15" customHeight="1" x14ac:dyDescent="0.25">
      <c r="A192" s="2" t="s">
        <v>8</v>
      </c>
      <c r="B192" s="2" t="s">
        <v>7</v>
      </c>
      <c r="C192" s="2" t="s">
        <v>5</v>
      </c>
      <c r="D192" s="18">
        <v>2032</v>
      </c>
      <c r="E192" s="19">
        <f>[1]Disability!AC$75*EXP('[1]Input data'!$B$5+'[1]Input data'!$B$7+(1+[1]Income!AB$75)*'[1]Input data'!$B$8*'[1]Input data'!$E$35+'[1]Input data'!$B$10+'[1]Input data'!$B$18+'[1]Input data'!$B$21)</f>
        <v>158287897.13136151</v>
      </c>
    </row>
    <row r="193" spans="1:5" ht="15" customHeight="1" x14ac:dyDescent="0.25">
      <c r="A193" s="2" t="s">
        <v>8</v>
      </c>
      <c r="B193" s="2" t="s">
        <v>7</v>
      </c>
      <c r="C193" s="2" t="s">
        <v>6</v>
      </c>
      <c r="D193" s="18">
        <v>2032</v>
      </c>
      <c r="E193" s="19">
        <f>[1]Disability!AC$76*EXP('[1]Input data'!$B$5+'[1]Input data'!$B$7+(1+[1]Income!AB$76)*'[1]Input data'!$B$8*'[1]Input data'!$E$36+'[1]Input data'!$B$10+'[1]Input data'!$B$19+'[1]Input data'!$B$21)</f>
        <v>228673444.35002327</v>
      </c>
    </row>
    <row r="194" spans="1:5" ht="15" customHeight="1" x14ac:dyDescent="0.25">
      <c r="A194" s="2" t="s">
        <v>9</v>
      </c>
      <c r="B194" s="2" t="s">
        <v>3</v>
      </c>
      <c r="C194" s="2" t="s">
        <v>4</v>
      </c>
      <c r="D194" s="18">
        <v>2032</v>
      </c>
      <c r="E194" s="19">
        <f>[1]Disability!AC$77*EXP('[1]Input data'!$B$4+'[1]Input data'!$B$7+(1+[1]Income!AB$77)*'[1]Input data'!$B$8*'[1]Input data'!$E$37+'[1]Input data'!$B$11+'[1]Input data'!$B$17+'[1]Input data'!$B$21)</f>
        <v>47917563.914041497</v>
      </c>
    </row>
    <row r="195" spans="1:5" ht="15" customHeight="1" x14ac:dyDescent="0.25">
      <c r="A195" s="2" t="s">
        <v>9</v>
      </c>
      <c r="B195" s="2" t="s">
        <v>3</v>
      </c>
      <c r="C195" s="2" t="s">
        <v>5</v>
      </c>
      <c r="D195" s="18">
        <v>2032</v>
      </c>
      <c r="E195" s="19">
        <f>[1]Disability!AC$78*EXP('[1]Input data'!$B$4+'[1]Input data'!$B$7+(1+[1]Income!AB$78)*'[1]Input data'!$B$8*'[1]Input data'!$E$38+'[1]Input data'!$B$11+'[1]Input data'!$B$18+'[1]Input data'!$B$21)</f>
        <v>86679652.15352571</v>
      </c>
    </row>
    <row r="196" spans="1:5" ht="15" customHeight="1" x14ac:dyDescent="0.25">
      <c r="A196" s="2" t="s">
        <v>9</v>
      </c>
      <c r="B196" s="2" t="s">
        <v>3</v>
      </c>
      <c r="C196" s="2" t="s">
        <v>6</v>
      </c>
      <c r="D196" s="18">
        <v>2032</v>
      </c>
      <c r="E196" s="19">
        <f>[1]Disability!AC$79*EXP('[1]Input data'!$B$4+'[1]Input data'!$B$7+(1+[1]Income!AB$79)*'[1]Input data'!$B$8*'[1]Input data'!$E$39+'[1]Input data'!$B$11+'[1]Input data'!$B$19+'[1]Input data'!$B$21)</f>
        <v>118294848.78387234</v>
      </c>
    </row>
    <row r="197" spans="1:5" ht="15" customHeight="1" x14ac:dyDescent="0.25">
      <c r="A197" s="2" t="s">
        <v>9</v>
      </c>
      <c r="B197" s="2" t="s">
        <v>7</v>
      </c>
      <c r="C197" s="2" t="s">
        <v>4</v>
      </c>
      <c r="D197" s="18">
        <v>2032</v>
      </c>
      <c r="E197" s="19">
        <f>[1]Disability!AC$80*EXP('[1]Input data'!$B$5+'[1]Input data'!$B$7+(1+[1]Income!AB$80)*'[1]Input data'!$B$8*'[1]Input data'!$E$40+'[1]Input data'!$B$11+'[1]Input data'!$B$17+'[1]Input data'!$B$21)</f>
        <v>52219934.360306904</v>
      </c>
    </row>
    <row r="198" spans="1:5" ht="15" customHeight="1" x14ac:dyDescent="0.25">
      <c r="A198" s="2" t="s">
        <v>9</v>
      </c>
      <c r="B198" s="2" t="s">
        <v>7</v>
      </c>
      <c r="C198" s="2" t="s">
        <v>5</v>
      </c>
      <c r="D198" s="18">
        <v>2032</v>
      </c>
      <c r="E198" s="19">
        <f>[1]Disability!AC$81*EXP('[1]Input data'!$B$5+'[1]Input data'!$B$7+(1+[1]Income!AB$81)*'[1]Input data'!$B$8*'[1]Input data'!$E$38+'[1]Input data'!$B$11+'[1]Input data'!$B$18+'[1]Input data'!$B$21)</f>
        <v>115158274.80684887</v>
      </c>
    </row>
    <row r="199" spans="1:5" ht="15" customHeight="1" x14ac:dyDescent="0.25">
      <c r="A199" s="2" t="s">
        <v>9</v>
      </c>
      <c r="B199" s="2" t="s">
        <v>7</v>
      </c>
      <c r="C199" s="2" t="s">
        <v>6</v>
      </c>
      <c r="D199" s="18">
        <v>2032</v>
      </c>
      <c r="E199" s="19">
        <f>[1]Disability!AC$82*EXP('[1]Input data'!$B$5+'[1]Input data'!$B$7+(1+[1]Income!AB$82)*'[1]Input data'!$B$8*'[1]Input data'!$E$42+'[1]Input data'!$B$11+'[1]Input data'!$B$19+'[1]Input data'!$B$21)</f>
        <v>135716919.97282735</v>
      </c>
    </row>
    <row r="200" spans="1:5" ht="15" customHeight="1" x14ac:dyDescent="0.25">
      <c r="A200" s="2" t="s">
        <v>10</v>
      </c>
      <c r="B200" s="2" t="s">
        <v>3</v>
      </c>
      <c r="C200" s="2" t="s">
        <v>4</v>
      </c>
      <c r="D200" s="18">
        <v>2032</v>
      </c>
      <c r="E200" s="19">
        <f>[1]Disability!AC$83*EXP('[1]Input data'!$B$4+'[1]Input data'!$B$7+(1+[1]Income!AB$77)*'[1]Input data'!$B$8*'[1]Input data'!$E$43+'[1]Input data'!$B$12+'[1]Input data'!$B$17+'[1]Input data'!$B$21)</f>
        <v>20477106.972197209</v>
      </c>
    </row>
    <row r="201" spans="1:5" ht="15" customHeight="1" x14ac:dyDescent="0.25">
      <c r="A201" s="2" t="s">
        <v>10</v>
      </c>
      <c r="B201" s="2" t="s">
        <v>3</v>
      </c>
      <c r="C201" s="2" t="s">
        <v>5</v>
      </c>
      <c r="D201" s="18">
        <v>2032</v>
      </c>
      <c r="E201" s="19">
        <f>[1]Disability!AC$84*EXP('[1]Input data'!$B$4+'[1]Input data'!$B$7+(1+[1]Income!AB$78)*'[1]Input data'!$B$8*'[1]Input data'!$E$44+'[1]Input data'!$B$12+'[1]Input data'!$B$18+'[1]Input data'!$B$21)</f>
        <v>45176690.067234501</v>
      </c>
    </row>
    <row r="202" spans="1:5" ht="15" customHeight="1" x14ac:dyDescent="0.25">
      <c r="A202" s="2" t="s">
        <v>10</v>
      </c>
      <c r="B202" s="2" t="s">
        <v>3</v>
      </c>
      <c r="C202" s="2" t="s">
        <v>6</v>
      </c>
      <c r="D202" s="18">
        <v>2032</v>
      </c>
      <c r="E202" s="19">
        <f>[1]Disability!AC$85*EXP('[1]Input data'!$B$4+'[1]Input data'!$B$7+(1+[1]Income!AB$79)*'[1]Input data'!$B$8*'[1]Input data'!$E$45+'[1]Input data'!$B$12+'[1]Input data'!$B$19+'[1]Input data'!$B$21)</f>
        <v>59016975.171786994</v>
      </c>
    </row>
    <row r="203" spans="1:5" ht="15" customHeight="1" x14ac:dyDescent="0.25">
      <c r="A203" s="2" t="s">
        <v>10</v>
      </c>
      <c r="B203" s="2" t="s">
        <v>7</v>
      </c>
      <c r="C203" s="2" t="s">
        <v>4</v>
      </c>
      <c r="D203" s="18">
        <v>2032</v>
      </c>
      <c r="E203" s="19">
        <f>[1]Disability!AC$86*EXP('[1]Input data'!$B$5+'[1]Input data'!$B$7+(1+[1]Income!AB$80)*'[1]Input data'!$B$8*'[1]Input data'!$E$46+'[1]Input data'!$B$12+'[1]Input data'!$B$17+'[1]Input data'!$B$21)</f>
        <v>38375582.352662012</v>
      </c>
    </row>
    <row r="204" spans="1:5" ht="15" customHeight="1" x14ac:dyDescent="0.25">
      <c r="A204" s="2" t="s">
        <v>10</v>
      </c>
      <c r="B204" s="2" t="s">
        <v>7</v>
      </c>
      <c r="C204" s="2" t="s">
        <v>5</v>
      </c>
      <c r="D204" s="18">
        <v>2032</v>
      </c>
      <c r="E204" s="19">
        <f>[1]Disability!AC$87*EXP('[1]Input data'!$B$5+'[1]Input data'!$B$7+(1+[1]Income!AB$81)*'[1]Input data'!$B$8*'[1]Input data'!$E$47+'[1]Input data'!$B$12+'[1]Input data'!$B$18+'[1]Input data'!$B$21)</f>
        <v>94724194.724960148</v>
      </c>
    </row>
    <row r="205" spans="1:5" ht="15" customHeight="1" x14ac:dyDescent="0.25">
      <c r="A205" s="2" t="s">
        <v>10</v>
      </c>
      <c r="B205" s="2" t="s">
        <v>7</v>
      </c>
      <c r="C205" s="2" t="s">
        <v>6</v>
      </c>
      <c r="D205" s="18">
        <v>2032</v>
      </c>
      <c r="E205" s="19">
        <f>[1]Disability!AC$88*EXP('[1]Input data'!$B$5+'[1]Input data'!$B$7+(1+[1]Income!AB$82)*'[1]Input data'!$B$8*'[1]Input data'!$E$48+'[1]Input data'!$B$12+'[1]Input data'!$B$19+'[1]Input data'!$B$21)</f>
        <v>133454172.18121023</v>
      </c>
    </row>
    <row r="206" spans="1:5" ht="15" customHeight="1" x14ac:dyDescent="0.25">
      <c r="A206" s="2" t="s">
        <v>11</v>
      </c>
      <c r="B206" s="2" t="s">
        <v>3</v>
      </c>
      <c r="C206" s="2" t="s">
        <v>4</v>
      </c>
      <c r="D206" s="18">
        <v>2032</v>
      </c>
      <c r="E206" s="19">
        <f>[1]Disability!AC$89*EXP('[1]Input data'!$B$4+'[1]Input data'!$B$7+(1+[1]Income!AB$77)*'[1]Input data'!$B$8*'[1]Input data'!$E$49+'[1]Input data'!$B$13+'[1]Input data'!$B$17+'[1]Input data'!$B$21)</f>
        <v>10776248.106150011</v>
      </c>
    </row>
    <row r="207" spans="1:5" ht="15" customHeight="1" x14ac:dyDescent="0.25">
      <c r="A207" s="2" t="s">
        <v>11</v>
      </c>
      <c r="B207" s="2" t="s">
        <v>3</v>
      </c>
      <c r="C207" s="2" t="s">
        <v>5</v>
      </c>
      <c r="D207" s="18">
        <v>2032</v>
      </c>
      <c r="E207" s="19">
        <f>[1]Disability!AC$90*EXP('[1]Input data'!$B$4+'[1]Input data'!$B$7+(1+[1]Income!AB$78)*'[1]Input data'!$B$8*'[1]Input data'!$E$50+'[1]Input data'!$B$13+'[1]Input data'!$B$18+'[1]Input data'!$B$21)</f>
        <v>20286046.123570066</v>
      </c>
    </row>
    <row r="208" spans="1:5" ht="15" customHeight="1" x14ac:dyDescent="0.25">
      <c r="A208" s="2" t="s">
        <v>11</v>
      </c>
      <c r="B208" s="2" t="s">
        <v>3</v>
      </c>
      <c r="C208" s="2" t="s">
        <v>6</v>
      </c>
      <c r="D208" s="18">
        <v>2032</v>
      </c>
      <c r="E208" s="19">
        <f>[1]Disability!AC$91*EXP('[1]Input data'!$B$4+'[1]Input data'!$B$7+(1+[1]Income!AB$79)*'[1]Input data'!$B$8*'[1]Input data'!$E$51+'[1]Input data'!$B$13+'[1]Input data'!$B$19+'[1]Input data'!$B$21)</f>
        <v>33381577.396262519</v>
      </c>
    </row>
    <row r="209" spans="1:5" ht="15" customHeight="1" x14ac:dyDescent="0.25">
      <c r="A209" s="2" t="s">
        <v>11</v>
      </c>
      <c r="B209" s="2" t="s">
        <v>7</v>
      </c>
      <c r="C209" s="2" t="s">
        <v>4</v>
      </c>
      <c r="D209" s="18">
        <v>2032</v>
      </c>
      <c r="E209" s="19">
        <f>[1]Disability!AC$92*EXP('[1]Input data'!$B$5+'[1]Input data'!$B$7+(1+[1]Income!AB$80)*'[1]Input data'!$B$8*'[1]Input data'!$E$52+'[1]Input data'!$B$13+'[1]Input data'!$B$17+'[1]Input data'!$B$21)</f>
        <v>36729572.00407096</v>
      </c>
    </row>
    <row r="210" spans="1:5" ht="15" customHeight="1" x14ac:dyDescent="0.25">
      <c r="A210" s="2" t="s">
        <v>11</v>
      </c>
      <c r="B210" s="2" t="s">
        <v>7</v>
      </c>
      <c r="C210" s="2" t="s">
        <v>5</v>
      </c>
      <c r="D210" s="18">
        <v>2032</v>
      </c>
      <c r="E210" s="19">
        <f>[1]Disability!AC$93*EXP('[1]Input data'!$B$5+'[1]Input data'!$B$7+(1+[1]Income!AB$81)*'[1]Input data'!$B$8*'[1]Input data'!$E$53+'[1]Input data'!$B$13+'[1]Input data'!$B$18+'[1]Input data'!$B$21)</f>
        <v>61936139.08918459</v>
      </c>
    </row>
    <row r="211" spans="1:5" ht="15" customHeight="1" x14ac:dyDescent="0.25">
      <c r="A211" s="2" t="s">
        <v>11</v>
      </c>
      <c r="B211" s="2" t="s">
        <v>7</v>
      </c>
      <c r="C211" s="2" t="s">
        <v>6</v>
      </c>
      <c r="D211" s="18">
        <v>2032</v>
      </c>
      <c r="E211" s="19">
        <f>[1]Disability!AC$94*EXP('[1]Input data'!$B$5+'[1]Input data'!$B$7+(1+[1]Income!AB$82)*'[1]Input data'!$B$8*'[1]Input data'!$E$54+'[1]Input data'!$B$13+'[1]Input data'!$B$19+'[1]Input data'!$B$21)</f>
        <v>109461386.00015178</v>
      </c>
    </row>
    <row r="212" spans="1:5" ht="15" customHeight="1" x14ac:dyDescent="0.25">
      <c r="A212" s="1" t="s">
        <v>2</v>
      </c>
      <c r="B212" s="2" t="s">
        <v>3</v>
      </c>
      <c r="C212" s="2" t="s">
        <v>4</v>
      </c>
      <c r="D212" s="18">
        <v>2033</v>
      </c>
      <c r="E212" s="19">
        <f>[1]Disability!AD$65*EXP('[1]Input data'!$B$4+'[1]Input data'!$B$7+(1+[1]Income!AC$65)*'[1]Input data'!$B$8*'[1]Input data'!$E$25+'[1]Input data'!$B$9+'[1]Input data'!$B$17+'[1]Input data'!$B$21)</f>
        <v>37637922.605205424</v>
      </c>
    </row>
    <row r="213" spans="1:5" ht="15" customHeight="1" x14ac:dyDescent="0.25">
      <c r="A213" s="1" t="s">
        <v>2</v>
      </c>
      <c r="B213" s="2" t="s">
        <v>3</v>
      </c>
      <c r="C213" s="2" t="s">
        <v>5</v>
      </c>
      <c r="D213" s="18">
        <v>2033</v>
      </c>
      <c r="E213" s="19">
        <f>[1]Disability!AD$66*EXP('[1]Input data'!$B$4+'[1]Input data'!$B$7+(1+[1]Income!AC$66)*'[1]Input data'!$B$8*'[1]Input data'!$E$26+'[1]Input data'!$B$9+'[1]Input data'!$B$18+'[1]Input data'!$B$21)</f>
        <v>65089161.938855559</v>
      </c>
    </row>
    <row r="214" spans="1:5" ht="15" customHeight="1" x14ac:dyDescent="0.25">
      <c r="A214" s="1" t="s">
        <v>2</v>
      </c>
      <c r="B214" s="2" t="s">
        <v>3</v>
      </c>
      <c r="C214" s="2" t="s">
        <v>6</v>
      </c>
      <c r="D214" s="18">
        <v>2033</v>
      </c>
      <c r="E214" s="19">
        <f>[1]Disability!AD$67*EXP('[1]Input data'!$B$4+'[1]Input data'!$B$7+(1+[1]Income!AC$67)*'[1]Input data'!$B$8*'[1]Input data'!$E$27+'[1]Input data'!$B$9+'[1]Input data'!$B$19+'[1]Input data'!$B$21)</f>
        <v>99771050.54319486</v>
      </c>
    </row>
    <row r="215" spans="1:5" ht="15" customHeight="1" x14ac:dyDescent="0.25">
      <c r="A215" s="1" t="s">
        <v>2</v>
      </c>
      <c r="B215" s="2" t="s">
        <v>7</v>
      </c>
      <c r="C215" s="2" t="s">
        <v>4</v>
      </c>
      <c r="D215" s="18">
        <v>2033</v>
      </c>
      <c r="E215" s="19">
        <f>[1]Disability!AD$68*EXP('[1]Input data'!$B$5+'[1]Input data'!$B$7+(1+[1]Income!AC$68)*'[1]Input data'!$B$8*'[1]Input data'!$E$28+'[1]Input data'!$B$9+'[1]Input data'!$B$17+'[1]Input data'!$B$21)</f>
        <v>31986012.446178142</v>
      </c>
    </row>
    <row r="216" spans="1:5" ht="15" customHeight="1" x14ac:dyDescent="0.25">
      <c r="A216" s="1" t="s">
        <v>2</v>
      </c>
      <c r="B216" s="2" t="s">
        <v>7</v>
      </c>
      <c r="C216" s="2" t="s">
        <v>5</v>
      </c>
      <c r="D216" s="18">
        <v>2033</v>
      </c>
      <c r="E216" s="19">
        <f>[1]Disability!AD$69*EXP('[1]Input data'!$B$5+'[1]Input data'!$B$7+(1+[1]Income!AC$69)*'[1]Input data'!$B$8*'[1]Input data'!$E$29+'[1]Input data'!$B$9+'[1]Input data'!$B$18+'[1]Input data'!$B$21)</f>
        <v>63470351.296229199</v>
      </c>
    </row>
    <row r="217" spans="1:5" ht="15" customHeight="1" x14ac:dyDescent="0.25">
      <c r="A217" s="1" t="s">
        <v>2</v>
      </c>
      <c r="B217" s="2" t="s">
        <v>7</v>
      </c>
      <c r="C217" s="2" t="s">
        <v>6</v>
      </c>
      <c r="D217" s="18">
        <v>2033</v>
      </c>
      <c r="E217" s="19">
        <f>[1]Disability!AD$70*EXP('[1]Input data'!$B$5+'[1]Input data'!$B$7+(1+[1]Income!AC$70)*'[1]Input data'!$B$8*'[1]Input data'!$E$30+'[1]Input data'!$B$9+'[1]Input data'!$B$19+'[1]Input data'!$B$21)</f>
        <v>57416745.130099468</v>
      </c>
    </row>
    <row r="218" spans="1:5" ht="15" customHeight="1" x14ac:dyDescent="0.25">
      <c r="A218" s="2" t="s">
        <v>8</v>
      </c>
      <c r="B218" s="2" t="s">
        <v>3</v>
      </c>
      <c r="C218" s="2" t="s">
        <v>4</v>
      </c>
      <c r="D218" s="18">
        <v>2033</v>
      </c>
      <c r="E218" s="19">
        <f>[1]Disability!AD$71*EXP('[1]Input data'!$B$4+'[1]Input data'!$B$7+(1+[1]Income!AC$71)*'[1]Input data'!$B$8*'[1]Input data'!$E$31+'[1]Input data'!$B$10+'[1]Input data'!$B$17+'[1]Input data'!$B$21)</f>
        <v>80703854.740212291</v>
      </c>
    </row>
    <row r="219" spans="1:5" ht="15" customHeight="1" x14ac:dyDescent="0.25">
      <c r="A219" s="2" t="s">
        <v>8</v>
      </c>
      <c r="B219" s="2" t="s">
        <v>3</v>
      </c>
      <c r="C219" s="2" t="s">
        <v>5</v>
      </c>
      <c r="D219" s="18">
        <v>2033</v>
      </c>
      <c r="E219" s="19">
        <f>[1]Disability!AD$72*EXP('[1]Input data'!$B$4+'[1]Input data'!$B$7+(1+[1]Income!AC$72)*'[1]Input data'!$B$8*'[1]Input data'!$E$32+'[1]Input data'!$B$10+'[1]Input data'!$B$18+'[1]Input data'!$B$21)</f>
        <v>164160151.66379961</v>
      </c>
    </row>
    <row r="220" spans="1:5" ht="15" customHeight="1" x14ac:dyDescent="0.25">
      <c r="A220" s="2" t="s">
        <v>8</v>
      </c>
      <c r="B220" s="2" t="s">
        <v>3</v>
      </c>
      <c r="C220" s="2" t="s">
        <v>6</v>
      </c>
      <c r="D220" s="18">
        <v>2033</v>
      </c>
      <c r="E220" s="19">
        <f>[1]Disability!AD$73*EXP('[1]Input data'!$B$4+'[1]Input data'!$B$7+(1+[1]Income!AC$73)*'[1]Input data'!$B$8*'[1]Input data'!$E$33+'[1]Input data'!$B$10+'[1]Input data'!$B$19+'[1]Input data'!$B$21)</f>
        <v>242627628.11902767</v>
      </c>
    </row>
    <row r="221" spans="1:5" ht="15" customHeight="1" x14ac:dyDescent="0.25">
      <c r="A221" s="2" t="s">
        <v>8</v>
      </c>
      <c r="B221" s="2" t="s">
        <v>7</v>
      </c>
      <c r="C221" s="2" t="s">
        <v>4</v>
      </c>
      <c r="D221" s="18">
        <v>2033</v>
      </c>
      <c r="E221" s="19">
        <f>[1]Disability!AD$74*EXP('[1]Input data'!$B$5+'[1]Input data'!$B$7+(1+[1]Income!AC$74)*'[1]Input data'!$B$8*'[1]Input data'!$E$34+'[1]Input data'!$B$10+'[1]Input data'!$B$17+'[1]Input data'!$B$21)</f>
        <v>68575469.714838102</v>
      </c>
    </row>
    <row r="222" spans="1:5" ht="15" customHeight="1" x14ac:dyDescent="0.25">
      <c r="A222" s="2" t="s">
        <v>8</v>
      </c>
      <c r="B222" s="2" t="s">
        <v>7</v>
      </c>
      <c r="C222" s="2" t="s">
        <v>5</v>
      </c>
      <c r="D222" s="18">
        <v>2033</v>
      </c>
      <c r="E222" s="19">
        <f>[1]Disability!AD$75*EXP('[1]Input data'!$B$5+'[1]Input data'!$B$7+(1+[1]Income!AC$75)*'[1]Input data'!$B$8*'[1]Input data'!$E$35+'[1]Input data'!$B$10+'[1]Input data'!$B$18+'[1]Input data'!$B$21)</f>
        <v>158434073.36668238</v>
      </c>
    </row>
    <row r="223" spans="1:5" ht="15" customHeight="1" x14ac:dyDescent="0.25">
      <c r="A223" s="2" t="s">
        <v>8</v>
      </c>
      <c r="B223" s="2" t="s">
        <v>7</v>
      </c>
      <c r="C223" s="2" t="s">
        <v>6</v>
      </c>
      <c r="D223" s="18">
        <v>2033</v>
      </c>
      <c r="E223" s="19">
        <f>[1]Disability!AD$76*EXP('[1]Input data'!$B$5+'[1]Input data'!$B$7+(1+[1]Income!AC$76)*'[1]Input data'!$B$8*'[1]Input data'!$E$36+'[1]Input data'!$B$10+'[1]Input data'!$B$19+'[1]Input data'!$B$21)</f>
        <v>229444850.26961887</v>
      </c>
    </row>
    <row r="224" spans="1:5" ht="15" customHeight="1" x14ac:dyDescent="0.25">
      <c r="A224" s="2" t="s">
        <v>9</v>
      </c>
      <c r="B224" s="2" t="s">
        <v>3</v>
      </c>
      <c r="C224" s="2" t="s">
        <v>4</v>
      </c>
      <c r="D224" s="18">
        <v>2033</v>
      </c>
      <c r="E224" s="19">
        <f>[1]Disability!AD$77*EXP('[1]Input data'!$B$4+'[1]Input data'!$B$7+(1+[1]Income!AC$77)*'[1]Input data'!$B$8*'[1]Input data'!$E$37+'[1]Input data'!$B$11+'[1]Input data'!$B$17+'[1]Input data'!$B$21)</f>
        <v>48187438.098625012</v>
      </c>
    </row>
    <row r="225" spans="1:5" ht="15" customHeight="1" x14ac:dyDescent="0.25">
      <c r="A225" s="2" t="s">
        <v>9</v>
      </c>
      <c r="B225" s="2" t="s">
        <v>3</v>
      </c>
      <c r="C225" s="2" t="s">
        <v>5</v>
      </c>
      <c r="D225" s="18">
        <v>2033</v>
      </c>
      <c r="E225" s="19">
        <f>[1]Disability!AD$78*EXP('[1]Input data'!$B$4+'[1]Input data'!$B$7+(1+[1]Income!AC$78)*'[1]Input data'!$B$8*'[1]Input data'!$E$38+'[1]Input data'!$B$11+'[1]Input data'!$B$18+'[1]Input data'!$B$21)</f>
        <v>87085387.311315998</v>
      </c>
    </row>
    <row r="226" spans="1:5" ht="15" customHeight="1" x14ac:dyDescent="0.25">
      <c r="A226" s="2" t="s">
        <v>9</v>
      </c>
      <c r="B226" s="2" t="s">
        <v>3</v>
      </c>
      <c r="C226" s="2" t="s">
        <v>6</v>
      </c>
      <c r="D226" s="18">
        <v>2033</v>
      </c>
      <c r="E226" s="19">
        <f>[1]Disability!AD$79*EXP('[1]Input data'!$B$4+'[1]Input data'!$B$7+(1+[1]Income!AC$79)*'[1]Input data'!$B$8*'[1]Input data'!$E$39+'[1]Input data'!$B$11+'[1]Input data'!$B$19+'[1]Input data'!$B$21)</f>
        <v>118144787.56237301</v>
      </c>
    </row>
    <row r="227" spans="1:5" ht="15" customHeight="1" x14ac:dyDescent="0.25">
      <c r="A227" s="2" t="s">
        <v>9</v>
      </c>
      <c r="B227" s="2" t="s">
        <v>7</v>
      </c>
      <c r="C227" s="2" t="s">
        <v>4</v>
      </c>
      <c r="D227" s="18">
        <v>2033</v>
      </c>
      <c r="E227" s="19">
        <f>[1]Disability!AD$80*EXP('[1]Input data'!$B$5+'[1]Input data'!$B$7+(1+[1]Income!AC$80)*'[1]Input data'!$B$8*'[1]Input data'!$E$40+'[1]Input data'!$B$11+'[1]Input data'!$B$17+'[1]Input data'!$B$21)</f>
        <v>51584593.979676403</v>
      </c>
    </row>
    <row r="228" spans="1:5" ht="15" customHeight="1" x14ac:dyDescent="0.25">
      <c r="A228" s="2" t="s">
        <v>9</v>
      </c>
      <c r="B228" s="2" t="s">
        <v>7</v>
      </c>
      <c r="C228" s="2" t="s">
        <v>5</v>
      </c>
      <c r="D228" s="18">
        <v>2033</v>
      </c>
      <c r="E228" s="19">
        <f>[1]Disability!AD$81*EXP('[1]Input data'!$B$5+'[1]Input data'!$B$7+(1+[1]Income!AC$81)*'[1]Input data'!$B$8*'[1]Input data'!$E$38+'[1]Input data'!$B$11+'[1]Input data'!$B$18+'[1]Input data'!$B$21)</f>
        <v>114485705.23330393</v>
      </c>
    </row>
    <row r="229" spans="1:5" ht="15" customHeight="1" x14ac:dyDescent="0.25">
      <c r="A229" s="2" t="s">
        <v>9</v>
      </c>
      <c r="B229" s="2" t="s">
        <v>7</v>
      </c>
      <c r="C229" s="2" t="s">
        <v>6</v>
      </c>
      <c r="D229" s="18">
        <v>2033</v>
      </c>
      <c r="E229" s="19">
        <f>[1]Disability!AD$82*EXP('[1]Input data'!$B$5+'[1]Input data'!$B$7+(1+[1]Income!AC$82)*'[1]Input data'!$B$8*'[1]Input data'!$E$42+'[1]Input data'!$B$11+'[1]Input data'!$B$19+'[1]Input data'!$B$21)</f>
        <v>132324893.52851222</v>
      </c>
    </row>
    <row r="230" spans="1:5" ht="15" customHeight="1" x14ac:dyDescent="0.25">
      <c r="A230" s="2" t="s">
        <v>10</v>
      </c>
      <c r="B230" s="2" t="s">
        <v>3</v>
      </c>
      <c r="C230" s="2" t="s">
        <v>4</v>
      </c>
      <c r="D230" s="18">
        <v>2033</v>
      </c>
      <c r="E230" s="19">
        <f>[1]Disability!AD$83*EXP('[1]Input data'!$B$4+'[1]Input data'!$B$7+(1+[1]Income!AC$77)*'[1]Input data'!$B$8*'[1]Input data'!$E$43+'[1]Input data'!$B$12+'[1]Input data'!$B$17+'[1]Input data'!$B$21)</f>
        <v>20452282.193775833</v>
      </c>
    </row>
    <row r="231" spans="1:5" ht="15" customHeight="1" x14ac:dyDescent="0.25">
      <c r="A231" s="2" t="s">
        <v>10</v>
      </c>
      <c r="B231" s="2" t="s">
        <v>3</v>
      </c>
      <c r="C231" s="2" t="s">
        <v>5</v>
      </c>
      <c r="D231" s="18">
        <v>2033</v>
      </c>
      <c r="E231" s="19">
        <f>[1]Disability!AD$84*EXP('[1]Input data'!$B$4+'[1]Input data'!$B$7+(1+[1]Income!AC$78)*'[1]Input data'!$B$8*'[1]Input data'!$E$44+'[1]Input data'!$B$12+'[1]Input data'!$B$18+'[1]Input data'!$B$21)</f>
        <v>45525046.879372858</v>
      </c>
    </row>
    <row r="232" spans="1:5" ht="15" customHeight="1" x14ac:dyDescent="0.25">
      <c r="A232" s="2" t="s">
        <v>10</v>
      </c>
      <c r="B232" s="2" t="s">
        <v>3</v>
      </c>
      <c r="C232" s="2" t="s">
        <v>6</v>
      </c>
      <c r="D232" s="18">
        <v>2033</v>
      </c>
      <c r="E232" s="19">
        <f>[1]Disability!AD$85*EXP('[1]Input data'!$B$4+'[1]Input data'!$B$7+(1+[1]Income!AC$79)*'[1]Input data'!$B$8*'[1]Input data'!$E$45+'[1]Input data'!$B$12+'[1]Input data'!$B$19+'[1]Input data'!$B$21)</f>
        <v>58362821.942573279</v>
      </c>
    </row>
    <row r="233" spans="1:5" ht="15" customHeight="1" x14ac:dyDescent="0.25">
      <c r="A233" s="2" t="s">
        <v>10</v>
      </c>
      <c r="B233" s="2" t="s">
        <v>7</v>
      </c>
      <c r="C233" s="2" t="s">
        <v>4</v>
      </c>
      <c r="D233" s="18">
        <v>2033</v>
      </c>
      <c r="E233" s="19">
        <f>[1]Disability!AD$86*EXP('[1]Input data'!$B$5+'[1]Input data'!$B$7+(1+[1]Income!AC$80)*'[1]Input data'!$B$8*'[1]Input data'!$E$46+'[1]Input data'!$B$12+'[1]Input data'!$B$17+'[1]Input data'!$B$21)</f>
        <v>37832688.653928973</v>
      </c>
    </row>
    <row r="234" spans="1:5" ht="15" customHeight="1" x14ac:dyDescent="0.25">
      <c r="A234" s="2" t="s">
        <v>10</v>
      </c>
      <c r="B234" s="2" t="s">
        <v>7</v>
      </c>
      <c r="C234" s="2" t="s">
        <v>5</v>
      </c>
      <c r="D234" s="18">
        <v>2033</v>
      </c>
      <c r="E234" s="19">
        <f>[1]Disability!AD$87*EXP('[1]Input data'!$B$5+'[1]Input data'!$B$7+(1+[1]Income!AC$81)*'[1]Input data'!$B$8*'[1]Input data'!$E$47+'[1]Input data'!$B$12+'[1]Input data'!$B$18+'[1]Input data'!$B$21)</f>
        <v>94982092.423207551</v>
      </c>
    </row>
    <row r="235" spans="1:5" ht="15" customHeight="1" x14ac:dyDescent="0.25">
      <c r="A235" s="2" t="s">
        <v>10</v>
      </c>
      <c r="B235" s="2" t="s">
        <v>7</v>
      </c>
      <c r="C235" s="2" t="s">
        <v>6</v>
      </c>
      <c r="D235" s="18">
        <v>2033</v>
      </c>
      <c r="E235" s="19">
        <f>[1]Disability!AD$88*EXP('[1]Input data'!$B$5+'[1]Input data'!$B$7+(1+[1]Income!AC$82)*'[1]Input data'!$B$8*'[1]Input data'!$E$48+'[1]Input data'!$B$12+'[1]Input data'!$B$19+'[1]Input data'!$B$21)</f>
        <v>132227031.00242931</v>
      </c>
    </row>
    <row r="236" spans="1:5" ht="15" customHeight="1" x14ac:dyDescent="0.25">
      <c r="A236" s="2" t="s">
        <v>11</v>
      </c>
      <c r="B236" s="2" t="s">
        <v>3</v>
      </c>
      <c r="C236" s="2" t="s">
        <v>4</v>
      </c>
      <c r="D236" s="18">
        <v>2033</v>
      </c>
      <c r="E236" s="19">
        <f>[1]Disability!AD$89*EXP('[1]Input data'!$B$4+'[1]Input data'!$B$7+(1+[1]Income!AC$77)*'[1]Input data'!$B$8*'[1]Input data'!$E$49+'[1]Input data'!$B$13+'[1]Input data'!$B$17+'[1]Input data'!$B$21)</f>
        <v>11054080.543104112</v>
      </c>
    </row>
    <row r="237" spans="1:5" ht="15" customHeight="1" x14ac:dyDescent="0.25">
      <c r="A237" s="2" t="s">
        <v>11</v>
      </c>
      <c r="B237" s="2" t="s">
        <v>3</v>
      </c>
      <c r="C237" s="2" t="s">
        <v>5</v>
      </c>
      <c r="D237" s="18">
        <v>2033</v>
      </c>
      <c r="E237" s="19">
        <f>[1]Disability!AD$90*EXP('[1]Input data'!$B$4+'[1]Input data'!$B$7+(1+[1]Income!AC$78)*'[1]Input data'!$B$8*'[1]Input data'!$E$50+'[1]Input data'!$B$13+'[1]Input data'!$B$18+'[1]Input data'!$B$21)</f>
        <v>20880449.617119811</v>
      </c>
    </row>
    <row r="238" spans="1:5" ht="15" customHeight="1" x14ac:dyDescent="0.25">
      <c r="A238" s="2" t="s">
        <v>11</v>
      </c>
      <c r="B238" s="2" t="s">
        <v>3</v>
      </c>
      <c r="C238" s="2" t="s">
        <v>6</v>
      </c>
      <c r="D238" s="18">
        <v>2033</v>
      </c>
      <c r="E238" s="19">
        <f>[1]Disability!AD$91*EXP('[1]Input data'!$B$4+'[1]Input data'!$B$7+(1+[1]Income!AC$79)*'[1]Input data'!$B$8*'[1]Input data'!$E$51+'[1]Input data'!$B$13+'[1]Input data'!$B$19+'[1]Input data'!$B$21)</f>
        <v>34038529.311092839</v>
      </c>
    </row>
    <row r="239" spans="1:5" ht="15" customHeight="1" x14ac:dyDescent="0.25">
      <c r="A239" s="2" t="s">
        <v>11</v>
      </c>
      <c r="B239" s="2" t="s">
        <v>7</v>
      </c>
      <c r="C239" s="2" t="s">
        <v>4</v>
      </c>
      <c r="D239" s="18">
        <v>2033</v>
      </c>
      <c r="E239" s="19">
        <f>[1]Disability!AD$92*EXP('[1]Input data'!$B$5+'[1]Input data'!$B$7+(1+[1]Income!AC$80)*'[1]Input data'!$B$8*'[1]Input data'!$E$52+'[1]Input data'!$B$13+'[1]Input data'!$B$17+'[1]Input data'!$B$21)</f>
        <v>37572289.47889854</v>
      </c>
    </row>
    <row r="240" spans="1:5" ht="15" customHeight="1" x14ac:dyDescent="0.25">
      <c r="A240" s="2" t="s">
        <v>11</v>
      </c>
      <c r="B240" s="2" t="s">
        <v>7</v>
      </c>
      <c r="C240" s="2" t="s">
        <v>5</v>
      </c>
      <c r="D240" s="18">
        <v>2033</v>
      </c>
      <c r="E240" s="19">
        <f>[1]Disability!AD$93*EXP('[1]Input data'!$B$5+'[1]Input data'!$B$7+(1+[1]Income!AC$81)*'[1]Input data'!$B$8*'[1]Input data'!$E$53+'[1]Input data'!$B$13+'[1]Input data'!$B$18+'[1]Input data'!$B$21)</f>
        <v>63409706.278286435</v>
      </c>
    </row>
    <row r="241" spans="1:5" ht="15" customHeight="1" x14ac:dyDescent="0.25">
      <c r="A241" s="2" t="s">
        <v>11</v>
      </c>
      <c r="B241" s="2" t="s">
        <v>7</v>
      </c>
      <c r="C241" s="2" t="s">
        <v>6</v>
      </c>
      <c r="D241" s="18">
        <v>2033</v>
      </c>
      <c r="E241" s="19">
        <f>[1]Disability!AD$94*EXP('[1]Input data'!$B$5+'[1]Input data'!$B$7+(1+[1]Income!AC$82)*'[1]Input data'!$B$8*'[1]Input data'!$E$54+'[1]Input data'!$B$13+'[1]Input data'!$B$19+'[1]Input data'!$B$21)</f>
        <v>111805989.51425293</v>
      </c>
    </row>
    <row r="242" spans="1:5" ht="15" customHeight="1" x14ac:dyDescent="0.25">
      <c r="A242" s="1" t="s">
        <v>2</v>
      </c>
      <c r="B242" s="2" t="s">
        <v>3</v>
      </c>
      <c r="C242" s="2" t="s">
        <v>4</v>
      </c>
      <c r="D242" s="18">
        <v>2034</v>
      </c>
      <c r="E242" s="19">
        <f>[1]Disability!AE$65*EXP('[1]Input data'!$B$4+'[1]Input data'!$B$7+(1+[1]Income!AD$65)*'[1]Input data'!$B$8*'[1]Input data'!$E$25+'[1]Input data'!$B$9+'[1]Input data'!$B$17+'[1]Input data'!$B$21)</f>
        <v>37543025.158094004</v>
      </c>
    </row>
    <row r="243" spans="1:5" ht="15" customHeight="1" x14ac:dyDescent="0.25">
      <c r="A243" s="1" t="s">
        <v>2</v>
      </c>
      <c r="B243" s="2" t="s">
        <v>3</v>
      </c>
      <c r="C243" s="2" t="s">
        <v>5</v>
      </c>
      <c r="D243" s="18">
        <v>2034</v>
      </c>
      <c r="E243" s="19">
        <f>[1]Disability!AE$66*EXP('[1]Input data'!$B$4+'[1]Input data'!$B$7+(1+[1]Income!AD$66)*'[1]Input data'!$B$8*'[1]Input data'!$E$26+'[1]Input data'!$B$9+'[1]Input data'!$B$18+'[1]Input data'!$B$21)</f>
        <v>64616399.326071896</v>
      </c>
    </row>
    <row r="244" spans="1:5" ht="15" customHeight="1" x14ac:dyDescent="0.25">
      <c r="A244" s="1" t="s">
        <v>2</v>
      </c>
      <c r="B244" s="2" t="s">
        <v>3</v>
      </c>
      <c r="C244" s="2" t="s">
        <v>6</v>
      </c>
      <c r="D244" s="18">
        <v>2034</v>
      </c>
      <c r="E244" s="19">
        <f>[1]Disability!AE$67*EXP('[1]Input data'!$B$4+'[1]Input data'!$B$7+(1+[1]Income!AD$67)*'[1]Input data'!$B$8*'[1]Input data'!$E$27+'[1]Input data'!$B$9+'[1]Input data'!$B$19+'[1]Input data'!$B$21)</f>
        <v>100295656.32592031</v>
      </c>
    </row>
    <row r="245" spans="1:5" ht="15" customHeight="1" x14ac:dyDescent="0.25">
      <c r="A245" s="1" t="s">
        <v>2</v>
      </c>
      <c r="B245" s="2" t="s">
        <v>7</v>
      </c>
      <c r="C245" s="2" t="s">
        <v>4</v>
      </c>
      <c r="D245" s="18">
        <v>2034</v>
      </c>
      <c r="E245" s="19">
        <f>[1]Disability!AE$68*EXP('[1]Input data'!$B$5+'[1]Input data'!$B$7+(1+[1]Income!AD$68)*'[1]Input data'!$B$8*'[1]Input data'!$E$28+'[1]Input data'!$B$9+'[1]Input data'!$B$17+'[1]Input data'!$B$21)</f>
        <v>31852235.301185619</v>
      </c>
    </row>
    <row r="246" spans="1:5" ht="15" customHeight="1" x14ac:dyDescent="0.25">
      <c r="A246" s="1" t="s">
        <v>2</v>
      </c>
      <c r="B246" s="2" t="s">
        <v>7</v>
      </c>
      <c r="C246" s="2" t="s">
        <v>5</v>
      </c>
      <c r="D246" s="18">
        <v>2034</v>
      </c>
      <c r="E246" s="19">
        <f>[1]Disability!AE$69*EXP('[1]Input data'!$B$5+'[1]Input data'!$B$7+(1+[1]Income!AD$69)*'[1]Input data'!$B$8*'[1]Input data'!$E$29+'[1]Input data'!$B$9+'[1]Input data'!$B$18+'[1]Input data'!$B$21)</f>
        <v>62855455.30697313</v>
      </c>
    </row>
    <row r="247" spans="1:5" ht="15" customHeight="1" x14ac:dyDescent="0.25">
      <c r="A247" s="1" t="s">
        <v>2</v>
      </c>
      <c r="B247" s="2" t="s">
        <v>7</v>
      </c>
      <c r="C247" s="2" t="s">
        <v>6</v>
      </c>
      <c r="D247" s="18">
        <v>2034</v>
      </c>
      <c r="E247" s="19">
        <f>[1]Disability!AE$70*EXP('[1]Input data'!$B$5+'[1]Input data'!$B$7+(1+[1]Income!AD$70)*'[1]Input data'!$B$8*'[1]Input data'!$E$30+'[1]Input data'!$B$9+'[1]Input data'!$B$19+'[1]Input data'!$B$21)</f>
        <v>55611885.899598554</v>
      </c>
    </row>
    <row r="248" spans="1:5" ht="15" customHeight="1" x14ac:dyDescent="0.25">
      <c r="A248" s="2" t="s">
        <v>8</v>
      </c>
      <c r="B248" s="2" t="s">
        <v>3</v>
      </c>
      <c r="C248" s="2" t="s">
        <v>4</v>
      </c>
      <c r="D248" s="18">
        <v>2034</v>
      </c>
      <c r="E248" s="19">
        <f>[1]Disability!AE$71*EXP('[1]Input data'!$B$4+'[1]Input data'!$B$7+(1+[1]Income!AD$71)*'[1]Input data'!$B$8*'[1]Input data'!$E$31+'[1]Input data'!$B$10+'[1]Input data'!$B$17+'[1]Input data'!$B$21)</f>
        <v>81187926.888916463</v>
      </c>
    </row>
    <row r="249" spans="1:5" ht="15" customHeight="1" x14ac:dyDescent="0.25">
      <c r="A249" s="2" t="s">
        <v>8</v>
      </c>
      <c r="B249" s="2" t="s">
        <v>3</v>
      </c>
      <c r="C249" s="2" t="s">
        <v>5</v>
      </c>
      <c r="D249" s="18">
        <v>2034</v>
      </c>
      <c r="E249" s="19">
        <f>[1]Disability!AE$72*EXP('[1]Input data'!$B$4+'[1]Input data'!$B$7+(1+[1]Income!AD$72)*'[1]Input data'!$B$8*'[1]Input data'!$E$32+'[1]Input data'!$B$10+'[1]Input data'!$B$18+'[1]Input data'!$B$21)</f>
        <v>166190600.32781467</v>
      </c>
    </row>
    <row r="250" spans="1:5" ht="15" customHeight="1" x14ac:dyDescent="0.25">
      <c r="A250" s="2" t="s">
        <v>8</v>
      </c>
      <c r="B250" s="2" t="s">
        <v>3</v>
      </c>
      <c r="C250" s="2" t="s">
        <v>6</v>
      </c>
      <c r="D250" s="18">
        <v>2034</v>
      </c>
      <c r="E250" s="19">
        <f>[1]Disability!AE$73*EXP('[1]Input data'!$B$4+'[1]Input data'!$B$7+(1+[1]Income!AD$73)*'[1]Input data'!$B$8*'[1]Input data'!$E$33+'[1]Input data'!$B$10+'[1]Input data'!$B$19+'[1]Input data'!$B$21)</f>
        <v>245336397.43064019</v>
      </c>
    </row>
    <row r="251" spans="1:5" ht="15" customHeight="1" x14ac:dyDescent="0.25">
      <c r="A251" s="2" t="s">
        <v>8</v>
      </c>
      <c r="B251" s="2" t="s">
        <v>7</v>
      </c>
      <c r="C251" s="2" t="s">
        <v>4</v>
      </c>
      <c r="D251" s="18">
        <v>2034</v>
      </c>
      <c r="E251" s="19">
        <f>[1]Disability!AE$74*EXP('[1]Input data'!$B$5+'[1]Input data'!$B$7+(1+[1]Income!AD$74)*'[1]Input data'!$B$8*'[1]Input data'!$E$34+'[1]Input data'!$B$10+'[1]Input data'!$B$17+'[1]Input data'!$B$21)</f>
        <v>68205743.265686244</v>
      </c>
    </row>
    <row r="252" spans="1:5" ht="15" customHeight="1" x14ac:dyDescent="0.25">
      <c r="A252" s="2" t="s">
        <v>8</v>
      </c>
      <c r="B252" s="2" t="s">
        <v>7</v>
      </c>
      <c r="C252" s="2" t="s">
        <v>5</v>
      </c>
      <c r="D252" s="18">
        <v>2034</v>
      </c>
      <c r="E252" s="19">
        <f>[1]Disability!AE$75*EXP('[1]Input data'!$B$5+'[1]Input data'!$B$7+(1+[1]Income!AD$75)*'[1]Input data'!$B$8*'[1]Input data'!$E$35+'[1]Input data'!$B$10+'[1]Input data'!$B$18+'[1]Input data'!$B$21)</f>
        <v>158570584.26695362</v>
      </c>
    </row>
    <row r="253" spans="1:5" ht="15" customHeight="1" x14ac:dyDescent="0.25">
      <c r="A253" s="2" t="s">
        <v>8</v>
      </c>
      <c r="B253" s="2" t="s">
        <v>7</v>
      </c>
      <c r="C253" s="2" t="s">
        <v>6</v>
      </c>
      <c r="D253" s="18">
        <v>2034</v>
      </c>
      <c r="E253" s="19">
        <f>[1]Disability!AE$76*EXP('[1]Input data'!$B$5+'[1]Input data'!$B$7+(1+[1]Income!AD$76)*'[1]Input data'!$B$8*'[1]Input data'!$E$36+'[1]Input data'!$B$10+'[1]Input data'!$B$19+'[1]Input data'!$B$21)</f>
        <v>230177052.31986648</v>
      </c>
    </row>
    <row r="254" spans="1:5" ht="15" customHeight="1" x14ac:dyDescent="0.25">
      <c r="A254" s="2" t="s">
        <v>9</v>
      </c>
      <c r="B254" s="2" t="s">
        <v>3</v>
      </c>
      <c r="C254" s="2" t="s">
        <v>4</v>
      </c>
      <c r="D254" s="18">
        <v>2034</v>
      </c>
      <c r="E254" s="19">
        <f>[1]Disability!AE$77*EXP('[1]Input data'!$B$4+'[1]Input data'!$B$7+(1+[1]Income!AD$77)*'[1]Input data'!$B$8*'[1]Input data'!$E$37+'[1]Input data'!$B$11+'[1]Input data'!$B$17+'[1]Input data'!$B$21)</f>
        <v>48521436.922709957</v>
      </c>
    </row>
    <row r="255" spans="1:5" ht="15" customHeight="1" x14ac:dyDescent="0.25">
      <c r="A255" s="2" t="s">
        <v>9</v>
      </c>
      <c r="B255" s="2" t="s">
        <v>3</v>
      </c>
      <c r="C255" s="2" t="s">
        <v>5</v>
      </c>
      <c r="D255" s="18">
        <v>2034</v>
      </c>
      <c r="E255" s="19">
        <f>[1]Disability!AE$78*EXP('[1]Input data'!$B$4+'[1]Input data'!$B$7+(1+[1]Income!AD$78)*'[1]Input data'!$B$8*'[1]Input data'!$E$38+'[1]Input data'!$B$11+'[1]Input data'!$B$18+'[1]Input data'!$B$21)</f>
        <v>87513497.62495935</v>
      </c>
    </row>
    <row r="256" spans="1:5" ht="15" customHeight="1" x14ac:dyDescent="0.25">
      <c r="A256" s="2" t="s">
        <v>9</v>
      </c>
      <c r="B256" s="2" t="s">
        <v>3</v>
      </c>
      <c r="C256" s="2" t="s">
        <v>6</v>
      </c>
      <c r="D256" s="18">
        <v>2034</v>
      </c>
      <c r="E256" s="19">
        <f>[1]Disability!AE$79*EXP('[1]Input data'!$B$4+'[1]Input data'!$B$7+(1+[1]Income!AD$79)*'[1]Input data'!$B$8*'[1]Input data'!$E$39+'[1]Input data'!$B$11+'[1]Input data'!$B$19+'[1]Input data'!$B$21)</f>
        <v>117980310.11614802</v>
      </c>
    </row>
    <row r="257" spans="1:5" ht="15" customHeight="1" x14ac:dyDescent="0.25">
      <c r="A257" s="2" t="s">
        <v>9</v>
      </c>
      <c r="B257" s="2" t="s">
        <v>7</v>
      </c>
      <c r="C257" s="2" t="s">
        <v>4</v>
      </c>
      <c r="D257" s="18">
        <v>2034</v>
      </c>
      <c r="E257" s="19">
        <f>[1]Disability!AE$80*EXP('[1]Input data'!$B$5+'[1]Input data'!$B$7+(1+[1]Income!AD$80)*'[1]Input data'!$B$8*'[1]Input data'!$E$40+'[1]Input data'!$B$11+'[1]Input data'!$B$17+'[1]Input data'!$B$21)</f>
        <v>51005004.401414037</v>
      </c>
    </row>
    <row r="258" spans="1:5" ht="15" customHeight="1" x14ac:dyDescent="0.25">
      <c r="A258" s="2" t="s">
        <v>9</v>
      </c>
      <c r="B258" s="2" t="s">
        <v>7</v>
      </c>
      <c r="C258" s="2" t="s">
        <v>5</v>
      </c>
      <c r="D258" s="18">
        <v>2034</v>
      </c>
      <c r="E258" s="19">
        <f>[1]Disability!AE$81*EXP('[1]Input data'!$B$5+'[1]Input data'!$B$7+(1+[1]Income!AD$81)*'[1]Input data'!$B$8*'[1]Input data'!$E$38+'[1]Input data'!$B$11+'[1]Input data'!$B$18+'[1]Input data'!$B$21)</f>
        <v>113824804.49203117</v>
      </c>
    </row>
    <row r="259" spans="1:5" ht="15" customHeight="1" x14ac:dyDescent="0.25">
      <c r="A259" s="2" t="s">
        <v>9</v>
      </c>
      <c r="B259" s="2" t="s">
        <v>7</v>
      </c>
      <c r="C259" s="2" t="s">
        <v>6</v>
      </c>
      <c r="D259" s="18">
        <v>2034</v>
      </c>
      <c r="E259" s="19">
        <f>[1]Disability!AE$82*EXP('[1]Input data'!$B$5+'[1]Input data'!$B$7+(1+[1]Income!AD$82)*'[1]Input data'!$B$8*'[1]Input data'!$E$42+'[1]Input data'!$B$11+'[1]Input data'!$B$19+'[1]Input data'!$B$21)</f>
        <v>128921399.0841741</v>
      </c>
    </row>
    <row r="260" spans="1:5" ht="15" customHeight="1" x14ac:dyDescent="0.25">
      <c r="A260" s="2" t="s">
        <v>10</v>
      </c>
      <c r="B260" s="2" t="s">
        <v>3</v>
      </c>
      <c r="C260" s="2" t="s">
        <v>4</v>
      </c>
      <c r="D260" s="18">
        <v>2034</v>
      </c>
      <c r="E260" s="19">
        <f>[1]Disability!AE$83*EXP('[1]Input data'!$B$4+'[1]Input data'!$B$7+(1+[1]Income!AD$77)*'[1]Input data'!$B$8*'[1]Input data'!$E$43+'[1]Input data'!$B$12+'[1]Input data'!$B$17+'[1]Input data'!$B$21)</f>
        <v>20454993.155435182</v>
      </c>
    </row>
    <row r="261" spans="1:5" ht="15" customHeight="1" x14ac:dyDescent="0.25">
      <c r="A261" s="2" t="s">
        <v>10</v>
      </c>
      <c r="B261" s="2" t="s">
        <v>3</v>
      </c>
      <c r="C261" s="2" t="s">
        <v>5</v>
      </c>
      <c r="D261" s="18">
        <v>2034</v>
      </c>
      <c r="E261" s="19">
        <f>[1]Disability!AE$84*EXP('[1]Input data'!$B$4+'[1]Input data'!$B$7+(1+[1]Income!AD$78)*'[1]Input data'!$B$8*'[1]Input data'!$E$44+'[1]Input data'!$B$12+'[1]Input data'!$B$18+'[1]Input data'!$B$21)</f>
        <v>45892790.495329678</v>
      </c>
    </row>
    <row r="262" spans="1:5" ht="15" customHeight="1" x14ac:dyDescent="0.25">
      <c r="A262" s="2" t="s">
        <v>10</v>
      </c>
      <c r="B262" s="2" t="s">
        <v>3</v>
      </c>
      <c r="C262" s="2" t="s">
        <v>6</v>
      </c>
      <c r="D262" s="18">
        <v>2034</v>
      </c>
      <c r="E262" s="19">
        <f>[1]Disability!AE$85*EXP('[1]Input data'!$B$4+'[1]Input data'!$B$7+(1+[1]Income!AD$79)*'[1]Input data'!$B$8*'[1]Input data'!$E$45+'[1]Input data'!$B$12+'[1]Input data'!$B$19+'[1]Input data'!$B$21)</f>
        <v>57701258.023864545</v>
      </c>
    </row>
    <row r="263" spans="1:5" ht="15" customHeight="1" x14ac:dyDescent="0.25">
      <c r="A263" s="2" t="s">
        <v>10</v>
      </c>
      <c r="B263" s="2" t="s">
        <v>7</v>
      </c>
      <c r="C263" s="2" t="s">
        <v>4</v>
      </c>
      <c r="D263" s="18">
        <v>2034</v>
      </c>
      <c r="E263" s="19">
        <f>[1]Disability!AE$86*EXP('[1]Input data'!$B$5+'[1]Input data'!$B$7+(1+[1]Income!AD$80)*'[1]Input data'!$B$8*'[1]Input data'!$E$46+'[1]Input data'!$B$12+'[1]Input data'!$B$17+'[1]Input data'!$B$21)</f>
        <v>37329603.85180106</v>
      </c>
    </row>
    <row r="264" spans="1:5" ht="15" customHeight="1" x14ac:dyDescent="0.25">
      <c r="A264" s="2" t="s">
        <v>10</v>
      </c>
      <c r="B264" s="2" t="s">
        <v>7</v>
      </c>
      <c r="C264" s="2" t="s">
        <v>5</v>
      </c>
      <c r="D264" s="18">
        <v>2034</v>
      </c>
      <c r="E264" s="19">
        <f>[1]Disability!AE$87*EXP('[1]Input data'!$B$5+'[1]Input data'!$B$7+(1+[1]Income!AD$81)*'[1]Input data'!$B$8*'[1]Input data'!$E$47+'[1]Input data'!$B$12+'[1]Input data'!$B$18+'[1]Input data'!$B$21)</f>
        <v>95252227.131745368</v>
      </c>
    </row>
    <row r="265" spans="1:5" ht="15" customHeight="1" x14ac:dyDescent="0.25">
      <c r="A265" s="2" t="s">
        <v>10</v>
      </c>
      <c r="B265" s="2" t="s">
        <v>7</v>
      </c>
      <c r="C265" s="2" t="s">
        <v>6</v>
      </c>
      <c r="D265" s="18">
        <v>2034</v>
      </c>
      <c r="E265" s="19">
        <f>[1]Disability!AE$88*EXP('[1]Input data'!$B$5+'[1]Input data'!$B$7+(1+[1]Income!AD$82)*'[1]Input data'!$B$8*'[1]Input data'!$E$48+'[1]Input data'!$B$12+'[1]Input data'!$B$19+'[1]Input data'!$B$21)</f>
        <v>130990507.45089523</v>
      </c>
    </row>
    <row r="266" spans="1:5" ht="15" customHeight="1" x14ac:dyDescent="0.25">
      <c r="A266" s="2" t="s">
        <v>11</v>
      </c>
      <c r="B266" s="2" t="s">
        <v>3</v>
      </c>
      <c r="C266" s="2" t="s">
        <v>4</v>
      </c>
      <c r="D266" s="18">
        <v>2034</v>
      </c>
      <c r="E266" s="19">
        <f>[1]Disability!AE$89*EXP('[1]Input data'!$B$4+'[1]Input data'!$B$7+(1+[1]Income!AD$77)*'[1]Input data'!$B$8*'[1]Input data'!$E$49+'[1]Input data'!$B$13+'[1]Input data'!$B$17+'[1]Input data'!$B$21)</f>
        <v>11343276.173225356</v>
      </c>
    </row>
    <row r="267" spans="1:5" ht="15" customHeight="1" x14ac:dyDescent="0.25">
      <c r="A267" s="2" t="s">
        <v>11</v>
      </c>
      <c r="B267" s="2" t="s">
        <v>3</v>
      </c>
      <c r="C267" s="2" t="s">
        <v>5</v>
      </c>
      <c r="D267" s="18">
        <v>2034</v>
      </c>
      <c r="E267" s="19">
        <f>[1]Disability!AE$90*EXP('[1]Input data'!$B$4+'[1]Input data'!$B$7+(1+[1]Income!AD$78)*'[1]Input data'!$B$8*'[1]Input data'!$E$50+'[1]Input data'!$B$13+'[1]Input data'!$B$18+'[1]Input data'!$B$21)</f>
        <v>21482751.174578253</v>
      </c>
    </row>
    <row r="268" spans="1:5" ht="15" customHeight="1" x14ac:dyDescent="0.25">
      <c r="A268" s="2" t="s">
        <v>11</v>
      </c>
      <c r="B268" s="2" t="s">
        <v>3</v>
      </c>
      <c r="C268" s="2" t="s">
        <v>6</v>
      </c>
      <c r="D268" s="18">
        <v>2034</v>
      </c>
      <c r="E268" s="19">
        <f>[1]Disability!AE$91*EXP('[1]Input data'!$B$4+'[1]Input data'!$B$7+(1+[1]Income!AD$79)*'[1]Input data'!$B$8*'[1]Input data'!$E$51+'[1]Input data'!$B$13+'[1]Input data'!$B$19+'[1]Input data'!$B$21)</f>
        <v>34692043.807561904</v>
      </c>
    </row>
    <row r="269" spans="1:5" ht="15" customHeight="1" x14ac:dyDescent="0.25">
      <c r="A269" s="2" t="s">
        <v>11</v>
      </c>
      <c r="B269" s="2" t="s">
        <v>7</v>
      </c>
      <c r="C269" s="2" t="s">
        <v>4</v>
      </c>
      <c r="D269" s="18">
        <v>2034</v>
      </c>
      <c r="E269" s="19">
        <f>[1]Disability!AE$92*EXP('[1]Input data'!$B$5+'[1]Input data'!$B$7+(1+[1]Income!AD$80)*'[1]Input data'!$B$8*'[1]Input data'!$E$52+'[1]Input data'!$B$13+'[1]Input data'!$B$17+'[1]Input data'!$B$21)</f>
        <v>38441633.60425698</v>
      </c>
    </row>
    <row r="270" spans="1:5" ht="15" customHeight="1" x14ac:dyDescent="0.25">
      <c r="A270" s="2" t="s">
        <v>11</v>
      </c>
      <c r="B270" s="2" t="s">
        <v>7</v>
      </c>
      <c r="C270" s="2" t="s">
        <v>5</v>
      </c>
      <c r="D270" s="18">
        <v>2034</v>
      </c>
      <c r="E270" s="19">
        <f>[1]Disability!AE$93*EXP('[1]Input data'!$B$5+'[1]Input data'!$B$7+(1+[1]Income!AD$81)*'[1]Input data'!$B$8*'[1]Input data'!$E$53+'[1]Input data'!$B$13+'[1]Input data'!$B$18+'[1]Input data'!$B$21)</f>
        <v>64888769.784448557</v>
      </c>
    </row>
    <row r="271" spans="1:5" ht="15" customHeight="1" x14ac:dyDescent="0.25">
      <c r="A271" s="2" t="s">
        <v>11</v>
      </c>
      <c r="B271" s="2" t="s">
        <v>7</v>
      </c>
      <c r="C271" s="2" t="s">
        <v>6</v>
      </c>
      <c r="D271" s="18">
        <v>2034</v>
      </c>
      <c r="E271" s="19">
        <f>[1]Disability!AE$94*EXP('[1]Input data'!$B$5+'[1]Input data'!$B$7+(1+[1]Income!AD$82)*'[1]Input data'!$B$8*'[1]Input data'!$E$54+'[1]Input data'!$B$13+'[1]Input data'!$B$19+'[1]Input data'!$B$21)</f>
        <v>114146166.2808433</v>
      </c>
    </row>
    <row r="272" spans="1:5" ht="15" customHeight="1" x14ac:dyDescent="0.25">
      <c r="A272" s="1" t="s">
        <v>2</v>
      </c>
      <c r="B272" s="2" t="s">
        <v>3</v>
      </c>
      <c r="C272" s="2" t="s">
        <v>4</v>
      </c>
      <c r="D272" s="18">
        <v>2035</v>
      </c>
      <c r="E272" s="19">
        <f>[1]Disability!AF$65*EXP('[1]Input data'!$B$4+'[1]Input data'!$B$7+(1+[1]Income!AE$65)*'[1]Input data'!$B$8*'[1]Input data'!$E$25+'[1]Input data'!$B$9+'[1]Input data'!$B$17+'[1]Input data'!$B$21)</f>
        <v>37408872.772990741</v>
      </c>
    </row>
    <row r="273" spans="1:5" ht="15" customHeight="1" x14ac:dyDescent="0.25">
      <c r="A273" s="1" t="s">
        <v>2</v>
      </c>
      <c r="B273" s="2" t="s">
        <v>3</v>
      </c>
      <c r="C273" s="2" t="s">
        <v>5</v>
      </c>
      <c r="D273" s="18">
        <v>2035</v>
      </c>
      <c r="E273" s="19">
        <f>[1]Disability!AF$66*EXP('[1]Input data'!$B$4+'[1]Input data'!$B$7+(1+[1]Income!AE$66)*'[1]Input data'!$B$8*'[1]Input data'!$E$26+'[1]Input data'!$B$9+'[1]Input data'!$B$18+'[1]Input data'!$B$21)</f>
        <v>64119921.311442807</v>
      </c>
    </row>
    <row r="274" spans="1:5" ht="15" customHeight="1" x14ac:dyDescent="0.25">
      <c r="A274" s="1" t="s">
        <v>2</v>
      </c>
      <c r="B274" s="2" t="s">
        <v>3</v>
      </c>
      <c r="C274" s="2" t="s">
        <v>6</v>
      </c>
      <c r="D274" s="18">
        <v>2035</v>
      </c>
      <c r="E274" s="19">
        <f>[1]Disability!AF$67*EXP('[1]Input data'!$B$4+'[1]Input data'!$B$7+(1+[1]Income!AE$67)*'[1]Input data'!$B$8*'[1]Input data'!$E$27+'[1]Input data'!$B$9+'[1]Input data'!$B$19+'[1]Input data'!$B$21)</f>
        <v>100788806.75306691</v>
      </c>
    </row>
    <row r="275" spans="1:5" ht="15" customHeight="1" x14ac:dyDescent="0.25">
      <c r="A275" s="1" t="s">
        <v>2</v>
      </c>
      <c r="B275" s="2" t="s">
        <v>7</v>
      </c>
      <c r="C275" s="2" t="s">
        <v>4</v>
      </c>
      <c r="D275" s="18">
        <v>2035</v>
      </c>
      <c r="E275" s="19">
        <f>[1]Disability!AF$68*EXP('[1]Input data'!$B$5+'[1]Input data'!$B$7+(1+[1]Income!AE$68)*'[1]Input data'!$B$8*'[1]Input data'!$E$28+'[1]Input data'!$B$9+'[1]Input data'!$B$17+'[1]Input data'!$B$21)</f>
        <v>31688999.43454954</v>
      </c>
    </row>
    <row r="276" spans="1:5" ht="15" customHeight="1" x14ac:dyDescent="0.25">
      <c r="A276" s="1" t="s">
        <v>2</v>
      </c>
      <c r="B276" s="2" t="s">
        <v>7</v>
      </c>
      <c r="C276" s="2" t="s">
        <v>5</v>
      </c>
      <c r="D276" s="18">
        <v>2035</v>
      </c>
      <c r="E276" s="19">
        <f>[1]Disability!AF$69*EXP('[1]Input data'!$B$5+'[1]Input data'!$B$7+(1+[1]Income!AE$69)*'[1]Input data'!$B$8*'[1]Input data'!$E$29+'[1]Input data'!$B$9+'[1]Input data'!$B$18+'[1]Input data'!$B$21)</f>
        <v>62228178.371697307</v>
      </c>
    </row>
    <row r="277" spans="1:5" ht="15" customHeight="1" x14ac:dyDescent="0.25">
      <c r="A277" s="1" t="s">
        <v>2</v>
      </c>
      <c r="B277" s="2" t="s">
        <v>7</v>
      </c>
      <c r="C277" s="2" t="s">
        <v>6</v>
      </c>
      <c r="D277" s="18">
        <v>2035</v>
      </c>
      <c r="E277" s="19">
        <f>[1]Disability!AF$70*EXP('[1]Input data'!$B$5+'[1]Input data'!$B$7+(1+[1]Income!AE$70)*'[1]Input data'!$B$8*'[1]Input data'!$E$30+'[1]Input data'!$B$9+'[1]Input data'!$B$19+'[1]Input data'!$B$21)</f>
        <v>53797485.134072982</v>
      </c>
    </row>
    <row r="278" spans="1:5" ht="15" customHeight="1" x14ac:dyDescent="0.25">
      <c r="A278" s="2" t="s">
        <v>8</v>
      </c>
      <c r="B278" s="2" t="s">
        <v>3</v>
      </c>
      <c r="C278" s="2" t="s">
        <v>4</v>
      </c>
      <c r="D278" s="18">
        <v>2035</v>
      </c>
      <c r="E278" s="19">
        <f>[1]Disability!AF$71*EXP('[1]Input data'!$B$4+'[1]Input data'!$B$7+(1+[1]Income!AE$71)*'[1]Input data'!$B$8*'[1]Input data'!$E$31+'[1]Input data'!$B$10+'[1]Input data'!$B$17+'[1]Input data'!$B$21)</f>
        <v>81579399.943844438</v>
      </c>
    </row>
    <row r="279" spans="1:5" ht="15" customHeight="1" x14ac:dyDescent="0.25">
      <c r="A279" s="2" t="s">
        <v>8</v>
      </c>
      <c r="B279" s="2" t="s">
        <v>3</v>
      </c>
      <c r="C279" s="2" t="s">
        <v>5</v>
      </c>
      <c r="D279" s="18">
        <v>2035</v>
      </c>
      <c r="E279" s="19">
        <f>[1]Disability!AF$72*EXP('[1]Input data'!$B$4+'[1]Input data'!$B$7+(1+[1]Income!AE$72)*'[1]Input data'!$B$8*'[1]Input data'!$E$32+'[1]Input data'!$B$10+'[1]Input data'!$B$18+'[1]Input data'!$B$21)</f>
        <v>168165821.45987821</v>
      </c>
    </row>
    <row r="280" spans="1:5" ht="15" customHeight="1" x14ac:dyDescent="0.25">
      <c r="A280" s="2" t="s">
        <v>8</v>
      </c>
      <c r="B280" s="2" t="s">
        <v>3</v>
      </c>
      <c r="C280" s="2" t="s">
        <v>6</v>
      </c>
      <c r="D280" s="18">
        <v>2035</v>
      </c>
      <c r="E280" s="19">
        <f>[1]Disability!AF$73*EXP('[1]Input data'!$B$4+'[1]Input data'!$B$7+(1+[1]Income!AE$73)*'[1]Input data'!$B$8*'[1]Input data'!$E$33+'[1]Input data'!$B$10+'[1]Input data'!$B$19+'[1]Input data'!$B$21)</f>
        <v>248160189.72291127</v>
      </c>
    </row>
    <row r="281" spans="1:5" ht="15" customHeight="1" x14ac:dyDescent="0.25">
      <c r="A281" s="2" t="s">
        <v>8</v>
      </c>
      <c r="B281" s="2" t="s">
        <v>7</v>
      </c>
      <c r="C281" s="2" t="s">
        <v>4</v>
      </c>
      <c r="D281" s="18">
        <v>2035</v>
      </c>
      <c r="E281" s="19">
        <f>[1]Disability!AF$74*EXP('[1]Input data'!$B$5+'[1]Input data'!$B$7+(1+[1]Income!AE$74)*'[1]Input data'!$B$8*'[1]Input data'!$E$34+'[1]Input data'!$B$10+'[1]Input data'!$B$17+'[1]Input data'!$B$21)</f>
        <v>67750829.411850989</v>
      </c>
    </row>
    <row r="282" spans="1:5" ht="15" customHeight="1" x14ac:dyDescent="0.25">
      <c r="A282" s="2" t="s">
        <v>8</v>
      </c>
      <c r="B282" s="2" t="s">
        <v>7</v>
      </c>
      <c r="C282" s="2" t="s">
        <v>5</v>
      </c>
      <c r="D282" s="18">
        <v>2035</v>
      </c>
      <c r="E282" s="19">
        <f>[1]Disability!AF$75*EXP('[1]Input data'!$B$5+'[1]Input data'!$B$7+(1+[1]Income!AE$75)*'[1]Input data'!$B$8*'[1]Input data'!$E$35+'[1]Input data'!$B$10+'[1]Input data'!$B$18+'[1]Input data'!$B$21)</f>
        <v>158672559.1922251</v>
      </c>
    </row>
    <row r="283" spans="1:5" ht="15" customHeight="1" x14ac:dyDescent="0.25">
      <c r="A283" s="2" t="s">
        <v>8</v>
      </c>
      <c r="B283" s="2" t="s">
        <v>7</v>
      </c>
      <c r="C283" s="2" t="s">
        <v>6</v>
      </c>
      <c r="D283" s="18">
        <v>2035</v>
      </c>
      <c r="E283" s="19">
        <f>[1]Disability!AF$76*EXP('[1]Input data'!$B$5+'[1]Input data'!$B$7+(1+[1]Income!AE$76)*'[1]Input data'!$B$8*'[1]Input data'!$E$36+'[1]Input data'!$B$10+'[1]Input data'!$B$19+'[1]Input data'!$B$21)</f>
        <v>230861093.47790036</v>
      </c>
    </row>
    <row r="284" spans="1:5" ht="15" customHeight="1" x14ac:dyDescent="0.25">
      <c r="A284" s="2" t="s">
        <v>9</v>
      </c>
      <c r="B284" s="2" t="s">
        <v>3</v>
      </c>
      <c r="C284" s="2" t="s">
        <v>4</v>
      </c>
      <c r="D284" s="18">
        <v>2035</v>
      </c>
      <c r="E284" s="19">
        <f>[1]Disability!AF$77*EXP('[1]Input data'!$B$4+'[1]Input data'!$B$7+(1+[1]Income!AE$77)*'[1]Input data'!$B$8*'[1]Input data'!$E$37+'[1]Input data'!$B$11+'[1]Input data'!$B$17+'[1]Input data'!$B$21)</f>
        <v>48786129.537750766</v>
      </c>
    </row>
    <row r="285" spans="1:5" ht="15" customHeight="1" x14ac:dyDescent="0.25">
      <c r="A285" s="2" t="s">
        <v>9</v>
      </c>
      <c r="B285" s="2" t="s">
        <v>3</v>
      </c>
      <c r="C285" s="2" t="s">
        <v>5</v>
      </c>
      <c r="D285" s="18">
        <v>2035</v>
      </c>
      <c r="E285" s="19">
        <f>[1]Disability!AF$78*EXP('[1]Input data'!$B$4+'[1]Input data'!$B$7+(1+[1]Income!AE$78)*'[1]Input data'!$B$8*'[1]Input data'!$E$38+'[1]Input data'!$B$11+'[1]Input data'!$B$18+'[1]Input data'!$B$21)</f>
        <v>87916725.389050588</v>
      </c>
    </row>
    <row r="286" spans="1:5" ht="15" customHeight="1" x14ac:dyDescent="0.25">
      <c r="A286" s="2" t="s">
        <v>9</v>
      </c>
      <c r="B286" s="2" t="s">
        <v>3</v>
      </c>
      <c r="C286" s="2" t="s">
        <v>6</v>
      </c>
      <c r="D286" s="18">
        <v>2035</v>
      </c>
      <c r="E286" s="19">
        <f>[1]Disability!AF$79*EXP('[1]Input data'!$B$4+'[1]Input data'!$B$7+(1+[1]Income!AE$79)*'[1]Input data'!$B$8*'[1]Input data'!$E$39+'[1]Input data'!$B$11+'[1]Input data'!$B$19+'[1]Input data'!$B$21)</f>
        <v>117804660.32744606</v>
      </c>
    </row>
    <row r="287" spans="1:5" ht="15" customHeight="1" x14ac:dyDescent="0.25">
      <c r="A287" s="2" t="s">
        <v>9</v>
      </c>
      <c r="B287" s="2" t="s">
        <v>7</v>
      </c>
      <c r="C287" s="2" t="s">
        <v>4</v>
      </c>
      <c r="D287" s="18">
        <v>2035</v>
      </c>
      <c r="E287" s="19">
        <f>[1]Disability!AF$80*EXP('[1]Input data'!$B$5+'[1]Input data'!$B$7+(1+[1]Income!AE$80)*'[1]Input data'!$B$8*'[1]Input data'!$E$40+'[1]Input data'!$B$11+'[1]Input data'!$B$17+'[1]Input data'!$B$21)</f>
        <v>50372532.219113402</v>
      </c>
    </row>
    <row r="288" spans="1:5" ht="15" customHeight="1" x14ac:dyDescent="0.25">
      <c r="A288" s="2" t="s">
        <v>9</v>
      </c>
      <c r="B288" s="2" t="s">
        <v>7</v>
      </c>
      <c r="C288" s="2" t="s">
        <v>5</v>
      </c>
      <c r="D288" s="18">
        <v>2035</v>
      </c>
      <c r="E288" s="19">
        <f>[1]Disability!AF$81*EXP('[1]Input data'!$B$5+'[1]Input data'!$B$7+(1+[1]Income!AE$81)*'[1]Input data'!$B$8*'[1]Input data'!$E$38+'[1]Input data'!$B$11+'[1]Input data'!$B$18+'[1]Input data'!$B$21)</f>
        <v>113141612.28961559</v>
      </c>
    </row>
    <row r="289" spans="1:5" ht="15" customHeight="1" x14ac:dyDescent="0.25">
      <c r="A289" s="2" t="s">
        <v>9</v>
      </c>
      <c r="B289" s="2" t="s">
        <v>7</v>
      </c>
      <c r="C289" s="2" t="s">
        <v>6</v>
      </c>
      <c r="D289" s="18">
        <v>2035</v>
      </c>
      <c r="E289" s="19">
        <f>[1]Disability!AF$82*EXP('[1]Input data'!$B$5+'[1]Input data'!$B$7+(1+[1]Income!AE$82)*'[1]Input data'!$B$8*'[1]Input data'!$E$42+'[1]Input data'!$B$11+'[1]Input data'!$B$19+'[1]Input data'!$B$21)</f>
        <v>125488868.51778103</v>
      </c>
    </row>
    <row r="290" spans="1:5" ht="15" customHeight="1" x14ac:dyDescent="0.25">
      <c r="A290" s="2" t="s">
        <v>10</v>
      </c>
      <c r="B290" s="2" t="s">
        <v>3</v>
      </c>
      <c r="C290" s="2" t="s">
        <v>4</v>
      </c>
      <c r="D290" s="18">
        <v>2035</v>
      </c>
      <c r="E290" s="19">
        <f>[1]Disability!AF$83*EXP('[1]Input data'!$B$4+'[1]Input data'!$B$7+(1+[1]Income!AE$77)*'[1]Input data'!$B$8*'[1]Input data'!$E$43+'[1]Input data'!$B$12+'[1]Input data'!$B$17+'[1]Input data'!$B$21)</f>
        <v>20428035.116283692</v>
      </c>
    </row>
    <row r="291" spans="1:5" ht="15" customHeight="1" x14ac:dyDescent="0.25">
      <c r="A291" s="2" t="s">
        <v>10</v>
      </c>
      <c r="B291" s="2" t="s">
        <v>3</v>
      </c>
      <c r="C291" s="2" t="s">
        <v>5</v>
      </c>
      <c r="D291" s="18">
        <v>2035</v>
      </c>
      <c r="E291" s="19">
        <f>[1]Disability!AF$84*EXP('[1]Input data'!$B$4+'[1]Input data'!$B$7+(1+[1]Income!AE$78)*'[1]Input data'!$B$8*'[1]Input data'!$E$44+'[1]Input data'!$B$12+'[1]Input data'!$B$18+'[1]Input data'!$B$21)</f>
        <v>46238985.278626487</v>
      </c>
    </row>
    <row r="292" spans="1:5" ht="15" customHeight="1" x14ac:dyDescent="0.25">
      <c r="A292" s="2" t="s">
        <v>10</v>
      </c>
      <c r="B292" s="2" t="s">
        <v>3</v>
      </c>
      <c r="C292" s="2" t="s">
        <v>6</v>
      </c>
      <c r="D292" s="18">
        <v>2035</v>
      </c>
      <c r="E292" s="19">
        <f>[1]Disability!AF$85*EXP('[1]Input data'!$B$4+'[1]Input data'!$B$7+(1+[1]Income!AE$79)*'[1]Input data'!$B$8*'[1]Input data'!$E$45+'[1]Input data'!$B$12+'[1]Input data'!$B$19+'[1]Input data'!$B$21)</f>
        <v>57034064.050986901</v>
      </c>
    </row>
    <row r="293" spans="1:5" ht="15" customHeight="1" x14ac:dyDescent="0.25">
      <c r="A293" s="2" t="s">
        <v>10</v>
      </c>
      <c r="B293" s="2" t="s">
        <v>7</v>
      </c>
      <c r="C293" s="2" t="s">
        <v>4</v>
      </c>
      <c r="D293" s="18">
        <v>2035</v>
      </c>
      <c r="E293" s="19">
        <f>[1]Disability!AF$86*EXP('[1]Input data'!$B$5+'[1]Input data'!$B$7+(1+[1]Income!AE$80)*'[1]Input data'!$B$8*'[1]Input data'!$E$46+'[1]Input data'!$B$12+'[1]Input data'!$B$17+'[1]Input data'!$B$21)</f>
        <v>36788788.062147513</v>
      </c>
    </row>
    <row r="294" spans="1:5" ht="15" customHeight="1" x14ac:dyDescent="0.25">
      <c r="A294" s="2" t="s">
        <v>10</v>
      </c>
      <c r="B294" s="2" t="s">
        <v>7</v>
      </c>
      <c r="C294" s="2" t="s">
        <v>5</v>
      </c>
      <c r="D294" s="18">
        <v>2035</v>
      </c>
      <c r="E294" s="19">
        <f>[1]Disability!AF$87*EXP('[1]Input data'!$B$5+'[1]Input data'!$B$7+(1+[1]Income!AE$81)*'[1]Input data'!$B$8*'[1]Input data'!$E$47+'[1]Input data'!$B$12+'[1]Input data'!$B$18+'[1]Input data'!$B$21)</f>
        <v>95498875.290104315</v>
      </c>
    </row>
    <row r="295" spans="1:5" ht="15" customHeight="1" x14ac:dyDescent="0.25">
      <c r="A295" s="2" t="s">
        <v>10</v>
      </c>
      <c r="B295" s="2" t="s">
        <v>7</v>
      </c>
      <c r="C295" s="2" t="s">
        <v>6</v>
      </c>
      <c r="D295" s="18">
        <v>2035</v>
      </c>
      <c r="E295" s="19">
        <f>[1]Disability!AF$88*EXP('[1]Input data'!$B$5+'[1]Input data'!$B$7+(1+[1]Income!AE$82)*'[1]Input data'!$B$8*'[1]Input data'!$E$48+'[1]Input data'!$B$12+'[1]Input data'!$B$19+'[1]Input data'!$B$21)</f>
        <v>129728173.87157632</v>
      </c>
    </row>
    <row r="296" spans="1:5" ht="15" customHeight="1" x14ac:dyDescent="0.25">
      <c r="A296" s="2" t="s">
        <v>11</v>
      </c>
      <c r="B296" s="2" t="s">
        <v>3</v>
      </c>
      <c r="C296" s="2" t="s">
        <v>4</v>
      </c>
      <c r="D296" s="18">
        <v>2035</v>
      </c>
      <c r="E296" s="19">
        <f>[1]Disability!AF$89*EXP('[1]Input data'!$B$4+'[1]Input data'!$B$7+(1+[1]Income!AE$77)*'[1]Input data'!$B$8*'[1]Input data'!$E$49+'[1]Input data'!$B$13+'[1]Input data'!$B$17+'[1]Input data'!$B$21)</f>
        <v>11620083.559139589</v>
      </c>
    </row>
    <row r="297" spans="1:5" ht="15" customHeight="1" x14ac:dyDescent="0.25">
      <c r="A297" s="2" t="s">
        <v>11</v>
      </c>
      <c r="B297" s="2" t="s">
        <v>3</v>
      </c>
      <c r="C297" s="2" t="s">
        <v>5</v>
      </c>
      <c r="D297" s="18">
        <v>2035</v>
      </c>
      <c r="E297" s="19">
        <f>[1]Disability!AF$90*EXP('[1]Input data'!$B$4+'[1]Input data'!$B$7+(1+[1]Income!AE$78)*'[1]Input data'!$B$8*'[1]Input data'!$E$50+'[1]Input data'!$B$13+'[1]Input data'!$B$18+'[1]Input data'!$B$21)</f>
        <v>22076304.140310016</v>
      </c>
    </row>
    <row r="298" spans="1:5" ht="15" customHeight="1" x14ac:dyDescent="0.25">
      <c r="A298" s="2" t="s">
        <v>11</v>
      </c>
      <c r="B298" s="2" t="s">
        <v>3</v>
      </c>
      <c r="C298" s="2" t="s">
        <v>6</v>
      </c>
      <c r="D298" s="18">
        <v>2035</v>
      </c>
      <c r="E298" s="19">
        <f>[1]Disability!AF$91*EXP('[1]Input data'!$B$4+'[1]Input data'!$B$7+(1+[1]Income!AE$79)*'[1]Input data'!$B$8*'[1]Input data'!$E$51+'[1]Input data'!$B$13+'[1]Input data'!$B$19+'[1]Input data'!$B$21)</f>
        <v>35342770.581841856</v>
      </c>
    </row>
    <row r="299" spans="1:5" ht="15" customHeight="1" x14ac:dyDescent="0.25">
      <c r="A299" s="2" t="s">
        <v>11</v>
      </c>
      <c r="B299" s="2" t="s">
        <v>7</v>
      </c>
      <c r="C299" s="2" t="s">
        <v>4</v>
      </c>
      <c r="D299" s="18">
        <v>2035</v>
      </c>
      <c r="E299" s="19">
        <f>[1]Disability!AF$92*EXP('[1]Input data'!$B$5+'[1]Input data'!$B$7+(1+[1]Income!AE$80)*'[1]Input data'!$B$8*'[1]Input data'!$E$52+'[1]Input data'!$B$13+'[1]Input data'!$B$17+'[1]Input data'!$B$21)</f>
        <v>39285388.223815948</v>
      </c>
    </row>
    <row r="300" spans="1:5" ht="15" customHeight="1" x14ac:dyDescent="0.25">
      <c r="A300" s="2" t="s">
        <v>11</v>
      </c>
      <c r="B300" s="2" t="s">
        <v>7</v>
      </c>
      <c r="C300" s="2" t="s">
        <v>5</v>
      </c>
      <c r="D300" s="18">
        <v>2035</v>
      </c>
      <c r="E300" s="19">
        <f>[1]Disability!AF$93*EXP('[1]Input data'!$B$5+'[1]Input data'!$B$7+(1+[1]Income!AE$81)*'[1]Input data'!$B$8*'[1]Input data'!$E$53+'[1]Input data'!$B$13+'[1]Input data'!$B$18+'[1]Input data'!$B$21)</f>
        <v>66357168.644132055</v>
      </c>
    </row>
    <row r="301" spans="1:5" ht="15" customHeight="1" x14ac:dyDescent="0.25">
      <c r="A301" s="2" t="s">
        <v>11</v>
      </c>
      <c r="B301" s="2" t="s">
        <v>7</v>
      </c>
      <c r="C301" s="2" t="s">
        <v>6</v>
      </c>
      <c r="D301" s="18">
        <v>2035</v>
      </c>
      <c r="E301" s="19">
        <f>[1]Disability!AF$94*EXP('[1]Input data'!$B$5+'[1]Input data'!$B$7+(1+[1]Income!AE$82)*'[1]Input data'!$B$8*'[1]Input data'!$E$54+'[1]Input data'!$B$13+'[1]Input data'!$B$19+'[1]Input data'!$B$21)</f>
        <v>116471936.87463698</v>
      </c>
    </row>
    <row r="302" spans="1:5" ht="15" customHeight="1" x14ac:dyDescent="0.25">
      <c r="A302" s="1" t="s">
        <v>2</v>
      </c>
      <c r="B302" s="2" t="s">
        <v>3</v>
      </c>
      <c r="C302" s="2" t="s">
        <v>4</v>
      </c>
      <c r="D302" s="18">
        <v>2036</v>
      </c>
      <c r="E302" s="19">
        <f>[1]Disability!AG$65*EXP('[1]Input data'!$B$4+'[1]Input data'!$B$7+(1+[1]Income!AF$65)*'[1]Input data'!$B$8*'[1]Input data'!$E$25+'[1]Input data'!$B$9+'[1]Input data'!$B$17+'[1]Input data'!$B$21)</f>
        <v>37276277.813055903</v>
      </c>
    </row>
    <row r="303" spans="1:5" ht="15" customHeight="1" x14ac:dyDescent="0.25">
      <c r="A303" s="1" t="s">
        <v>2</v>
      </c>
      <c r="B303" s="2" t="s">
        <v>3</v>
      </c>
      <c r="C303" s="2" t="s">
        <v>5</v>
      </c>
      <c r="D303" s="18">
        <v>2036</v>
      </c>
      <c r="E303" s="19">
        <f>[1]Disability!AG$66*EXP('[1]Input data'!$B$4+'[1]Input data'!$B$7+(1+[1]Income!AF$66)*'[1]Input data'!$B$8*'[1]Input data'!$E$26+'[1]Input data'!$B$9+'[1]Input data'!$B$18+'[1]Input data'!$B$21)</f>
        <v>63617828.2818918</v>
      </c>
    </row>
    <row r="304" spans="1:5" ht="15" customHeight="1" x14ac:dyDescent="0.25">
      <c r="A304" s="1" t="s">
        <v>2</v>
      </c>
      <c r="B304" s="2" t="s">
        <v>3</v>
      </c>
      <c r="C304" s="2" t="s">
        <v>6</v>
      </c>
      <c r="D304" s="18">
        <v>2036</v>
      </c>
      <c r="E304" s="19">
        <f>[1]Disability!AG$67*EXP('[1]Input data'!$B$4+'[1]Input data'!$B$7+(1+[1]Income!AF$67)*'[1]Input data'!$B$8*'[1]Input data'!$E$27+'[1]Input data'!$B$9+'[1]Input data'!$B$19+'[1]Input data'!$B$21)</f>
        <v>101254836.18378256</v>
      </c>
    </row>
    <row r="305" spans="1:5" ht="15" customHeight="1" x14ac:dyDescent="0.25">
      <c r="A305" s="1" t="s">
        <v>2</v>
      </c>
      <c r="B305" s="2" t="s">
        <v>7</v>
      </c>
      <c r="C305" s="2" t="s">
        <v>4</v>
      </c>
      <c r="D305" s="18">
        <v>2036</v>
      </c>
      <c r="E305" s="19">
        <f>[1]Disability!AG$68*EXP('[1]Input data'!$B$5+'[1]Input data'!$B$7+(1+[1]Income!AF$68)*'[1]Input data'!$B$8*'[1]Input data'!$E$28+'[1]Input data'!$B$9+'[1]Input data'!$B$17+'[1]Input data'!$B$21)</f>
        <v>31526965.285114046</v>
      </c>
    </row>
    <row r="306" spans="1:5" ht="15" customHeight="1" x14ac:dyDescent="0.25">
      <c r="A306" s="1" t="s">
        <v>2</v>
      </c>
      <c r="B306" s="2" t="s">
        <v>7</v>
      </c>
      <c r="C306" s="2" t="s">
        <v>5</v>
      </c>
      <c r="D306" s="18">
        <v>2036</v>
      </c>
      <c r="E306" s="19">
        <f>[1]Disability!AG$69*EXP('[1]Input data'!$B$5+'[1]Input data'!$B$7+(1+[1]Income!AF$69)*'[1]Input data'!$B$8*'[1]Input data'!$E$29+'[1]Input data'!$B$9+'[1]Input data'!$B$18+'[1]Input data'!$B$21)</f>
        <v>61593655.247298636</v>
      </c>
    </row>
    <row r="307" spans="1:5" ht="15" customHeight="1" x14ac:dyDescent="0.25">
      <c r="A307" s="1" t="s">
        <v>2</v>
      </c>
      <c r="B307" s="2" t="s">
        <v>7</v>
      </c>
      <c r="C307" s="2" t="s">
        <v>6</v>
      </c>
      <c r="D307" s="18">
        <v>2036</v>
      </c>
      <c r="E307" s="19">
        <f>[1]Disability!AG$70*EXP('[1]Input data'!$B$5+'[1]Input data'!$B$7+(1+[1]Income!AF$70)*'[1]Input data'!$B$8*'[1]Input data'!$E$30+'[1]Input data'!$B$9+'[1]Input data'!$B$19+'[1]Input data'!$B$21)</f>
        <v>51974015.226745151</v>
      </c>
    </row>
    <row r="308" spans="1:5" ht="15" customHeight="1" x14ac:dyDescent="0.25">
      <c r="A308" s="2" t="s">
        <v>8</v>
      </c>
      <c r="B308" s="2" t="s">
        <v>3</v>
      </c>
      <c r="C308" s="2" t="s">
        <v>4</v>
      </c>
      <c r="D308" s="18">
        <v>2036</v>
      </c>
      <c r="E308" s="19">
        <f>[1]Disability!AG$71*EXP('[1]Input data'!$B$4+'[1]Input data'!$B$7+(1+[1]Income!AF$71)*'[1]Input data'!$B$8*'[1]Input data'!$E$31+'[1]Input data'!$B$10+'[1]Input data'!$B$17+'[1]Input data'!$B$21)</f>
        <v>81994046.497748777</v>
      </c>
    </row>
    <row r="309" spans="1:5" ht="15" customHeight="1" x14ac:dyDescent="0.25">
      <c r="A309" s="2" t="s">
        <v>8</v>
      </c>
      <c r="B309" s="2" t="s">
        <v>3</v>
      </c>
      <c r="C309" s="2" t="s">
        <v>5</v>
      </c>
      <c r="D309" s="18">
        <v>2036</v>
      </c>
      <c r="E309" s="19">
        <f>[1]Disability!AG$72*EXP('[1]Input data'!$B$4+'[1]Input data'!$B$7+(1+[1]Income!AF$72)*'[1]Input data'!$B$8*'[1]Input data'!$E$32+'[1]Input data'!$B$10+'[1]Input data'!$B$18+'[1]Input data'!$B$21)</f>
        <v>170132520.16448143</v>
      </c>
    </row>
    <row r="310" spans="1:5" ht="15" customHeight="1" x14ac:dyDescent="0.25">
      <c r="A310" s="2" t="s">
        <v>8</v>
      </c>
      <c r="B310" s="2" t="s">
        <v>3</v>
      </c>
      <c r="C310" s="2" t="s">
        <v>6</v>
      </c>
      <c r="D310" s="18">
        <v>2036</v>
      </c>
      <c r="E310" s="19">
        <f>[1]Disability!AG$73*EXP('[1]Input data'!$B$4+'[1]Input data'!$B$7+(1+[1]Income!AF$73)*'[1]Input data'!$B$8*'[1]Input data'!$E$33+'[1]Input data'!$B$10+'[1]Input data'!$B$19+'[1]Input data'!$B$21)</f>
        <v>250897260.57138968</v>
      </c>
    </row>
    <row r="311" spans="1:5" ht="15" customHeight="1" x14ac:dyDescent="0.25">
      <c r="A311" s="2" t="s">
        <v>8</v>
      </c>
      <c r="B311" s="2" t="s">
        <v>7</v>
      </c>
      <c r="C311" s="2" t="s">
        <v>4</v>
      </c>
      <c r="D311" s="18">
        <v>2036</v>
      </c>
      <c r="E311" s="19">
        <f>[1]Disability!AG$74*EXP('[1]Input data'!$B$5+'[1]Input data'!$B$7+(1+[1]Income!AF$74)*'[1]Input data'!$B$8*'[1]Input data'!$E$34+'[1]Input data'!$B$10+'[1]Input data'!$B$17+'[1]Input data'!$B$21)</f>
        <v>67300180.054138571</v>
      </c>
    </row>
    <row r="312" spans="1:5" ht="15" customHeight="1" x14ac:dyDescent="0.25">
      <c r="A312" s="2" t="s">
        <v>8</v>
      </c>
      <c r="B312" s="2" t="s">
        <v>7</v>
      </c>
      <c r="C312" s="2" t="s">
        <v>5</v>
      </c>
      <c r="D312" s="18">
        <v>2036</v>
      </c>
      <c r="E312" s="19">
        <f>[1]Disability!AG$75*EXP('[1]Input data'!$B$5+'[1]Input data'!$B$7+(1+[1]Income!AF$75)*'[1]Input data'!$B$8*'[1]Input data'!$E$35+'[1]Input data'!$B$10+'[1]Input data'!$B$18+'[1]Input data'!$B$21)</f>
        <v>158767567.069433</v>
      </c>
    </row>
    <row r="313" spans="1:5" ht="15" customHeight="1" x14ac:dyDescent="0.25">
      <c r="A313" s="2" t="s">
        <v>8</v>
      </c>
      <c r="B313" s="2" t="s">
        <v>7</v>
      </c>
      <c r="C313" s="2" t="s">
        <v>6</v>
      </c>
      <c r="D313" s="18">
        <v>2036</v>
      </c>
      <c r="E313" s="19">
        <f>[1]Disability!AG$76*EXP('[1]Input data'!$B$5+'[1]Input data'!$B$7+(1+[1]Income!AF$76)*'[1]Input data'!$B$8*'[1]Input data'!$E$36+'[1]Input data'!$B$10+'[1]Input data'!$B$19+'[1]Input data'!$B$21)</f>
        <v>231530274.18141007</v>
      </c>
    </row>
    <row r="314" spans="1:5" ht="15" customHeight="1" x14ac:dyDescent="0.25">
      <c r="A314" s="2" t="s">
        <v>9</v>
      </c>
      <c r="B314" s="2" t="s">
        <v>3</v>
      </c>
      <c r="C314" s="2" t="s">
        <v>4</v>
      </c>
      <c r="D314" s="18">
        <v>2036</v>
      </c>
      <c r="E314" s="19">
        <f>[1]Disability!AG$77*EXP('[1]Input data'!$B$4+'[1]Input data'!$B$7+(1+[1]Income!AF$77)*'[1]Input data'!$B$8*'[1]Input data'!$E$37+'[1]Input data'!$B$11+'[1]Input data'!$B$17+'[1]Input data'!$B$21)</f>
        <v>49075882.569438495</v>
      </c>
    </row>
    <row r="315" spans="1:5" ht="15" customHeight="1" x14ac:dyDescent="0.25">
      <c r="A315" s="2" t="s">
        <v>9</v>
      </c>
      <c r="B315" s="2" t="s">
        <v>3</v>
      </c>
      <c r="C315" s="2" t="s">
        <v>5</v>
      </c>
      <c r="D315" s="18">
        <v>2036</v>
      </c>
      <c r="E315" s="19">
        <f>[1]Disability!AG$78*EXP('[1]Input data'!$B$4+'[1]Input data'!$B$7+(1+[1]Income!AF$78)*'[1]Input data'!$B$8*'[1]Input data'!$E$38+'[1]Input data'!$B$11+'[1]Input data'!$B$18+'[1]Input data'!$B$21)</f>
        <v>88307055.819883689</v>
      </c>
    </row>
    <row r="316" spans="1:5" ht="15" customHeight="1" x14ac:dyDescent="0.25">
      <c r="A316" s="2" t="s">
        <v>9</v>
      </c>
      <c r="B316" s="2" t="s">
        <v>3</v>
      </c>
      <c r="C316" s="2" t="s">
        <v>6</v>
      </c>
      <c r="D316" s="18">
        <v>2036</v>
      </c>
      <c r="E316" s="19">
        <f>[1]Disability!AG$79*EXP('[1]Input data'!$B$4+'[1]Input data'!$B$7+(1+[1]Income!AF$79)*'[1]Input data'!$B$8*'[1]Input data'!$E$39+'[1]Input data'!$B$11+'[1]Input data'!$B$19+'[1]Input data'!$B$21)</f>
        <v>117616612.45605712</v>
      </c>
    </row>
    <row r="317" spans="1:5" ht="15" customHeight="1" x14ac:dyDescent="0.25">
      <c r="A317" s="2" t="s">
        <v>9</v>
      </c>
      <c r="B317" s="2" t="s">
        <v>7</v>
      </c>
      <c r="C317" s="2" t="s">
        <v>4</v>
      </c>
      <c r="D317" s="18">
        <v>2036</v>
      </c>
      <c r="E317" s="19">
        <f>[1]Disability!AG$80*EXP('[1]Input data'!$B$5+'[1]Input data'!$B$7+(1+[1]Income!AF$80)*'[1]Input data'!$B$8*'[1]Input data'!$E$40+'[1]Input data'!$B$11+'[1]Input data'!$B$17+'[1]Input data'!$B$21)</f>
        <v>49750011.660713531</v>
      </c>
    </row>
    <row r="318" spans="1:5" ht="15" customHeight="1" x14ac:dyDescent="0.25">
      <c r="A318" s="2" t="s">
        <v>9</v>
      </c>
      <c r="B318" s="2" t="s">
        <v>7</v>
      </c>
      <c r="C318" s="2" t="s">
        <v>5</v>
      </c>
      <c r="D318" s="18">
        <v>2036</v>
      </c>
      <c r="E318" s="19">
        <f>[1]Disability!AG$81*EXP('[1]Input data'!$B$5+'[1]Input data'!$B$7+(1+[1]Income!AF$81)*'[1]Input data'!$B$8*'[1]Input data'!$E$38+'[1]Input data'!$B$11+'[1]Input data'!$B$18+'[1]Input data'!$B$21)</f>
        <v>112450176.98682821</v>
      </c>
    </row>
    <row r="319" spans="1:5" ht="15" customHeight="1" x14ac:dyDescent="0.25">
      <c r="A319" s="2" t="s">
        <v>9</v>
      </c>
      <c r="B319" s="2" t="s">
        <v>7</v>
      </c>
      <c r="C319" s="2" t="s">
        <v>6</v>
      </c>
      <c r="D319" s="18">
        <v>2036</v>
      </c>
      <c r="E319" s="19">
        <f>[1]Disability!AG$82*EXP('[1]Input data'!$B$5+'[1]Input data'!$B$7+(1+[1]Income!AF$82)*'[1]Input data'!$B$8*'[1]Input data'!$E$42+'[1]Input data'!$B$11+'[1]Input data'!$B$19+'[1]Input data'!$B$21)</f>
        <v>122061429.40591145</v>
      </c>
    </row>
    <row r="320" spans="1:5" ht="15" customHeight="1" x14ac:dyDescent="0.25">
      <c r="A320" s="2" t="s">
        <v>10</v>
      </c>
      <c r="B320" s="2" t="s">
        <v>3</v>
      </c>
      <c r="C320" s="2" t="s">
        <v>4</v>
      </c>
      <c r="D320" s="18">
        <v>2036</v>
      </c>
      <c r="E320" s="19">
        <f>[1]Disability!AG$83*EXP('[1]Input data'!$B$4+'[1]Input data'!$B$7+(1+[1]Income!AF$77)*'[1]Input data'!$B$8*'[1]Input data'!$E$43+'[1]Input data'!$B$12+'[1]Input data'!$B$17+'[1]Input data'!$B$21)</f>
        <v>20411799.334749583</v>
      </c>
    </row>
    <row r="321" spans="1:5" ht="15" customHeight="1" x14ac:dyDescent="0.25">
      <c r="A321" s="2" t="s">
        <v>10</v>
      </c>
      <c r="B321" s="2" t="s">
        <v>3</v>
      </c>
      <c r="C321" s="2" t="s">
        <v>5</v>
      </c>
      <c r="D321" s="18">
        <v>2036</v>
      </c>
      <c r="E321" s="19">
        <f>[1]Disability!AG$84*EXP('[1]Input data'!$B$4+'[1]Input data'!$B$7+(1+[1]Income!AF$78)*'[1]Input data'!$B$8*'[1]Input data'!$E$44+'[1]Input data'!$B$12+'[1]Input data'!$B$18+'[1]Input data'!$B$21)</f>
        <v>46573897.055138603</v>
      </c>
    </row>
    <row r="322" spans="1:5" ht="15" customHeight="1" x14ac:dyDescent="0.25">
      <c r="A322" s="2" t="s">
        <v>10</v>
      </c>
      <c r="B322" s="2" t="s">
        <v>3</v>
      </c>
      <c r="C322" s="2" t="s">
        <v>6</v>
      </c>
      <c r="D322" s="18">
        <v>2036</v>
      </c>
      <c r="E322" s="19">
        <f>[1]Disability!AG$85*EXP('[1]Input data'!$B$4+'[1]Input data'!$B$7+(1+[1]Income!AF$79)*'[1]Input data'!$B$8*'[1]Input data'!$E$45+'[1]Input data'!$B$12+'[1]Input data'!$B$19+'[1]Input data'!$B$21)</f>
        <v>56360817.85185992</v>
      </c>
    </row>
    <row r="323" spans="1:5" ht="15" customHeight="1" x14ac:dyDescent="0.25">
      <c r="A323" s="2" t="s">
        <v>10</v>
      </c>
      <c r="B323" s="2" t="s">
        <v>7</v>
      </c>
      <c r="C323" s="2" t="s">
        <v>4</v>
      </c>
      <c r="D323" s="18">
        <v>2036</v>
      </c>
      <c r="E323" s="19">
        <f>[1]Disability!AG$86*EXP('[1]Input data'!$B$5+'[1]Input data'!$B$7+(1+[1]Income!AF$80)*'[1]Input data'!$B$8*'[1]Input data'!$E$46+'[1]Input data'!$B$12+'[1]Input data'!$B$17+'[1]Input data'!$B$21)</f>
        <v>36255090.191468738</v>
      </c>
    </row>
    <row r="324" spans="1:5" ht="15" customHeight="1" x14ac:dyDescent="0.25">
      <c r="A324" s="2" t="s">
        <v>10</v>
      </c>
      <c r="B324" s="2" t="s">
        <v>7</v>
      </c>
      <c r="C324" s="2" t="s">
        <v>5</v>
      </c>
      <c r="D324" s="18">
        <v>2036</v>
      </c>
      <c r="E324" s="19">
        <f>[1]Disability!AG$87*EXP('[1]Input data'!$B$5+'[1]Input data'!$B$7+(1+[1]Income!AF$81)*'[1]Input data'!$B$8*'[1]Input data'!$E$47+'[1]Input data'!$B$12+'[1]Input data'!$B$18+'[1]Input data'!$B$21)</f>
        <v>95736462.667426825</v>
      </c>
    </row>
    <row r="325" spans="1:5" ht="15" customHeight="1" x14ac:dyDescent="0.25">
      <c r="A325" s="2" t="s">
        <v>10</v>
      </c>
      <c r="B325" s="2" t="s">
        <v>7</v>
      </c>
      <c r="C325" s="2" t="s">
        <v>6</v>
      </c>
      <c r="D325" s="18">
        <v>2036</v>
      </c>
      <c r="E325" s="19">
        <f>[1]Disability!AG$88*EXP('[1]Input data'!$B$5+'[1]Input data'!$B$7+(1+[1]Income!AF$82)*'[1]Input data'!$B$8*'[1]Input data'!$E$48+'[1]Input data'!$B$12+'[1]Input data'!$B$19+'[1]Input data'!$B$21)</f>
        <v>128470215.6012014</v>
      </c>
    </row>
    <row r="326" spans="1:5" ht="15" customHeight="1" x14ac:dyDescent="0.25">
      <c r="A326" s="2" t="s">
        <v>11</v>
      </c>
      <c r="B326" s="2" t="s">
        <v>3</v>
      </c>
      <c r="C326" s="2" t="s">
        <v>4</v>
      </c>
      <c r="D326" s="18">
        <v>2036</v>
      </c>
      <c r="E326" s="19">
        <f>[1]Disability!AG$89*EXP('[1]Input data'!$B$4+'[1]Input data'!$B$7+(1+[1]Income!AF$77)*'[1]Input data'!$B$8*'[1]Input data'!$E$49+'[1]Input data'!$B$13+'[1]Input data'!$B$17+'[1]Input data'!$B$21)</f>
        <v>11901377.019924253</v>
      </c>
    </row>
    <row r="327" spans="1:5" ht="15" customHeight="1" x14ac:dyDescent="0.25">
      <c r="A327" s="2" t="s">
        <v>11</v>
      </c>
      <c r="B327" s="2" t="s">
        <v>3</v>
      </c>
      <c r="C327" s="2" t="s">
        <v>5</v>
      </c>
      <c r="D327" s="18">
        <v>2036</v>
      </c>
      <c r="E327" s="19">
        <f>[1]Disability!AG$90*EXP('[1]Input data'!$B$4+'[1]Input data'!$B$7+(1+[1]Income!AF$78)*'[1]Input data'!$B$8*'[1]Input data'!$E$50+'[1]Input data'!$B$13+'[1]Input data'!$B$18+'[1]Input data'!$B$21)</f>
        <v>22664958.876194216</v>
      </c>
    </row>
    <row r="328" spans="1:5" ht="15" customHeight="1" x14ac:dyDescent="0.25">
      <c r="A328" s="2" t="s">
        <v>11</v>
      </c>
      <c r="B328" s="2" t="s">
        <v>3</v>
      </c>
      <c r="C328" s="2" t="s">
        <v>6</v>
      </c>
      <c r="D328" s="18">
        <v>2036</v>
      </c>
      <c r="E328" s="19">
        <f>[1]Disability!AG$91*EXP('[1]Input data'!$B$4+'[1]Input data'!$B$7+(1+[1]Income!AF$79)*'[1]Input data'!$B$8*'[1]Input data'!$E$51+'[1]Input data'!$B$13+'[1]Input data'!$B$19+'[1]Input data'!$B$21)</f>
        <v>35990189.698948659</v>
      </c>
    </row>
    <row r="329" spans="1:5" ht="15" customHeight="1" x14ac:dyDescent="0.25">
      <c r="A329" s="2" t="s">
        <v>11</v>
      </c>
      <c r="B329" s="2" t="s">
        <v>7</v>
      </c>
      <c r="C329" s="2" t="s">
        <v>4</v>
      </c>
      <c r="D329" s="18">
        <v>2036</v>
      </c>
      <c r="E329" s="19">
        <f>[1]Disability!AG$92*EXP('[1]Input data'!$B$5+'[1]Input data'!$B$7+(1+[1]Income!AF$80)*'[1]Input data'!$B$8*'[1]Input data'!$E$52+'[1]Input data'!$B$13+'[1]Input data'!$B$17+'[1]Input data'!$B$21)</f>
        <v>40133760.136798359</v>
      </c>
    </row>
    <row r="330" spans="1:5" ht="15" customHeight="1" x14ac:dyDescent="0.25">
      <c r="A330" s="2" t="s">
        <v>11</v>
      </c>
      <c r="B330" s="2" t="s">
        <v>7</v>
      </c>
      <c r="C330" s="2" t="s">
        <v>5</v>
      </c>
      <c r="D330" s="18">
        <v>2036</v>
      </c>
      <c r="E330" s="19">
        <f>[1]Disability!AG$93*EXP('[1]Input data'!$B$5+'[1]Input data'!$B$7+(1+[1]Income!AF$81)*'[1]Input data'!$B$8*'[1]Input data'!$E$53+'[1]Input data'!$B$13+'[1]Input data'!$B$18+'[1]Input data'!$B$21)</f>
        <v>67821057.732896224</v>
      </c>
    </row>
    <row r="331" spans="1:5" ht="15" customHeight="1" x14ac:dyDescent="0.25">
      <c r="A331" s="2" t="s">
        <v>11</v>
      </c>
      <c r="B331" s="2" t="s">
        <v>7</v>
      </c>
      <c r="C331" s="2" t="s">
        <v>6</v>
      </c>
      <c r="D331" s="18">
        <v>2036</v>
      </c>
      <c r="E331" s="19">
        <f>[1]Disability!AG$94*EXP('[1]Input data'!$B$5+'[1]Input data'!$B$7+(1+[1]Income!AF$82)*'[1]Input data'!$B$8*'[1]Input data'!$E$54+'[1]Input data'!$B$13+'[1]Input data'!$B$19+'[1]Input data'!$B$21)</f>
        <v>118799999.33156185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Eurostat data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Gevers</dc:creator>
  <cp:lastModifiedBy>Hans Gevers</cp:lastModifiedBy>
  <dcterms:created xsi:type="dcterms:W3CDTF">2026-08-26T10:45:02Z</dcterms:created>
  <dcterms:modified xsi:type="dcterms:W3CDTF">2026-08-26T12:15:14Z</dcterms:modified>
</cp:coreProperties>
</file>